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codeName="ThisWorkbook" autoCompressPictures="0"/>
  <mc:AlternateContent xmlns:mc="http://schemas.openxmlformats.org/markup-compatibility/2006">
    <mc:Choice Requires="x15">
      <x15ac:absPath xmlns:x15ac="http://schemas.microsoft.com/office/spreadsheetml/2010/11/ac" url="D:\!Sixth Form\Compute Science\boatBalanceTest2\"/>
    </mc:Choice>
  </mc:AlternateContent>
  <xr:revisionPtr revIDLastSave="0" documentId="13_ncr:1_{BC1626B5-78A3-46C4-90A9-7336CCBD8092}" xr6:coauthVersionLast="47" xr6:coauthVersionMax="47" xr10:uidLastSave="{00000000-0000-0000-0000-000000000000}"/>
  <bookViews>
    <workbookView xWindow="-27990" yWindow="7680" windowWidth="28110" windowHeight="16440" xr2:uid="{00000000-000D-0000-FFFF-FFFF00000000}"/>
  </bookViews>
  <sheets>
    <sheet name="Boat Plan" sheetId="1" r:id="rId1"/>
    <sheet name="Master Database" sheetId="5" r:id="rId2"/>
    <sheet name="Crew" sheetId="6" r:id="rId3"/>
    <sheet name="Calcs" sheetId="2" r:id="rId4"/>
    <sheet name="BDA Crew List" sheetId="7" r:id="rId5"/>
    <sheet name="For the record" sheetId="8" r:id="rId6"/>
  </sheets>
  <definedNames>
    <definedName name="_xlnm._FilterDatabase" localSheetId="0" hidden="1">'Boat Plan'!$B$3:$I$43</definedName>
    <definedName name="_xlnm._FilterDatabase" localSheetId="1" hidden="1">'Master Database'!$A$1:$J$35</definedName>
    <definedName name="Displacement">'Boat Plan'!#REF!</definedName>
    <definedName name="Displacement_Drummer">'Boat Plan'!$D$64</definedName>
    <definedName name="Displacement_Helm">'Boat Plan'!$D$63</definedName>
    <definedName name="Drum">'Boat Plan'!$H$4:$H$43</definedName>
    <definedName name="Helm">'Boat Plan'!$I$4:$I$43</definedName>
    <definedName name="Left">'Boat Plan'!$F$4:$F$43</definedName>
    <definedName name="People">'Boat Plan'!$B$4:$B$43</definedName>
    <definedName name="_xlnm.Print_Area" localSheetId="4">'BDA Crew List'!$B$2:$G$28</definedName>
    <definedName name="_xlnm.Print_Area" localSheetId="0">'Boat Plan'!$A$1:$AJ$46</definedName>
    <definedName name="PW_Entry">#REF!</definedName>
    <definedName name="PW_paddlers">#REF!</definedName>
    <definedName name="Right">'Boat Plan'!$G$4:$G$43</definedName>
    <definedName name="Rows">'Boat Plan'!#REF!</definedName>
    <definedName name="Team">'Boat Plan'!$B$4:$E$43</definedName>
    <definedName name="Weight">'Boat Plan'!$E$4:$E$43</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2" i="5" l="1"/>
  <c r="T32" i="5"/>
  <c r="U32" i="5" s="1"/>
  <c r="S17" i="5"/>
  <c r="T17" i="5"/>
  <c r="U17" i="5" s="1"/>
  <c r="V17" i="5" s="1"/>
  <c r="C17" i="5" s="1"/>
  <c r="S7" i="5"/>
  <c r="T7" i="5"/>
  <c r="U7" i="5" s="1"/>
  <c r="V7" i="5" s="1"/>
  <c r="C7" i="5" s="1"/>
  <c r="S6" i="5"/>
  <c r="T6" i="5"/>
  <c r="U6" i="5" s="1"/>
  <c r="S25" i="5"/>
  <c r="T25" i="5"/>
  <c r="U25" i="5" s="1"/>
  <c r="S16" i="5"/>
  <c r="T16" i="5"/>
  <c r="U16" i="5" s="1"/>
  <c r="V16" i="5" s="1"/>
  <c r="C16" i="5" s="1"/>
  <c r="S18" i="5"/>
  <c r="T18" i="5"/>
  <c r="U18" i="5" s="1"/>
  <c r="S31" i="5"/>
  <c r="T31" i="5"/>
  <c r="U31" i="5" s="1"/>
  <c r="T2" i="5"/>
  <c r="U2" i="5" s="1"/>
  <c r="T3" i="5"/>
  <c r="S2" i="5"/>
  <c r="S28" i="5"/>
  <c r="T28" i="5"/>
  <c r="U28" i="5" s="1"/>
  <c r="S26" i="5"/>
  <c r="T26" i="5"/>
  <c r="U26" i="5" s="1"/>
  <c r="V26" i="5" s="1"/>
  <c r="C26" i="5" s="1"/>
  <c r="T33" i="5"/>
  <c r="U33" i="5" s="1"/>
  <c r="U3" i="5"/>
  <c r="T4" i="5"/>
  <c r="U4" i="5" s="1"/>
  <c r="T5" i="5"/>
  <c r="U5" i="5" s="1"/>
  <c r="V5" i="5" s="1"/>
  <c r="C5" i="5" s="1"/>
  <c r="T8" i="5"/>
  <c r="U8" i="5" s="1"/>
  <c r="T9" i="5"/>
  <c r="U9" i="5"/>
  <c r="T10" i="5"/>
  <c r="U10" i="5" s="1"/>
  <c r="T11" i="5"/>
  <c r="U11" i="5"/>
  <c r="T12" i="5"/>
  <c r="U12" i="5" s="1"/>
  <c r="T13" i="5"/>
  <c r="U13" i="5" s="1"/>
  <c r="T14" i="5"/>
  <c r="U14" i="5" s="1"/>
  <c r="T15" i="5"/>
  <c r="U15" i="5" s="1"/>
  <c r="T19" i="5"/>
  <c r="U19" i="5" s="1"/>
  <c r="T20" i="5"/>
  <c r="U20" i="5" s="1"/>
  <c r="T21" i="5"/>
  <c r="U21" i="5" s="1"/>
  <c r="T22" i="5"/>
  <c r="U22" i="5"/>
  <c r="V22" i="5" s="1"/>
  <c r="C22" i="5" s="1"/>
  <c r="T23" i="5"/>
  <c r="U23" i="5" s="1"/>
  <c r="T24" i="5"/>
  <c r="U24" i="5" s="1"/>
  <c r="T27" i="5"/>
  <c r="U27" i="5" s="1"/>
  <c r="T29" i="5"/>
  <c r="U29" i="5" s="1"/>
  <c r="T30" i="5"/>
  <c r="U30" i="5"/>
  <c r="S33" i="5"/>
  <c r="S3" i="5"/>
  <c r="S4" i="5"/>
  <c r="S5" i="5"/>
  <c r="S8" i="5"/>
  <c r="S9" i="5"/>
  <c r="S10" i="5"/>
  <c r="S11" i="5"/>
  <c r="S12" i="5"/>
  <c r="S13" i="5"/>
  <c r="S14" i="5"/>
  <c r="S15" i="5"/>
  <c r="S19" i="5"/>
  <c r="S20" i="5"/>
  <c r="S21" i="5"/>
  <c r="S22" i="5"/>
  <c r="S23" i="5"/>
  <c r="S24" i="5"/>
  <c r="S27" i="5"/>
  <c r="S29" i="5"/>
  <c r="S30" i="5"/>
  <c r="V30" i="5" s="1"/>
  <c r="C30" i="5" s="1"/>
  <c r="B46" i="6" a="1"/>
  <c r="B46" i="6" s="1"/>
  <c r="E46" i="6" s="1"/>
  <c r="B45" i="6" a="1"/>
  <c r="B45" i="6" s="1"/>
  <c r="B44" i="6" a="1"/>
  <c r="B44" i="6" s="1"/>
  <c r="B43" i="6" a="1"/>
  <c r="B43" i="6" s="1"/>
  <c r="B42" i="6" a="1"/>
  <c r="B42" i="6" s="1"/>
  <c r="B41" i="6" a="1"/>
  <c r="B41" i="6" s="1"/>
  <c r="C41" i="6" s="1"/>
  <c r="D41" i="6" s="1"/>
  <c r="B43" i="1" s="1"/>
  <c r="B40" i="6" a="1"/>
  <c r="B40" i="6" s="1"/>
  <c r="C40" i="6" s="1"/>
  <c r="D40" i="6" s="1"/>
  <c r="B42" i="1" s="1"/>
  <c r="B39" i="6" a="1"/>
  <c r="B39" i="6" s="1"/>
  <c r="C39" i="6" s="1"/>
  <c r="D39" i="6" s="1"/>
  <c r="B41" i="1" s="1"/>
  <c r="B38" i="6" a="1"/>
  <c r="B38" i="6" s="1"/>
  <c r="C38" i="6" s="1"/>
  <c r="D38" i="6" s="1"/>
  <c r="B40" i="1" s="1"/>
  <c r="B37" i="6" a="1"/>
  <c r="B37" i="6" s="1"/>
  <c r="C37" i="6" s="1"/>
  <c r="D37" i="6" s="1"/>
  <c r="B39" i="1" s="1"/>
  <c r="B36" i="6" a="1"/>
  <c r="B36" i="6" s="1"/>
  <c r="C36" i="6" s="1"/>
  <c r="D36" i="6" s="1"/>
  <c r="B38" i="1" s="1"/>
  <c r="B35" i="6" a="1"/>
  <c r="B35" i="6" s="1"/>
  <c r="C35" i="6" s="1"/>
  <c r="D35" i="6" s="1"/>
  <c r="B37" i="1" s="1"/>
  <c r="B34" i="6" a="1"/>
  <c r="B34" i="6" s="1"/>
  <c r="C34" i="6" s="1"/>
  <c r="D34" i="6" s="1"/>
  <c r="B36" i="1" s="1"/>
  <c r="B33" i="6" a="1"/>
  <c r="B33" i="6" s="1"/>
  <c r="C33" i="6" s="1"/>
  <c r="D33" i="6" s="1"/>
  <c r="B35" i="1" s="1"/>
  <c r="B32" i="6" a="1"/>
  <c r="B32" i="6" s="1"/>
  <c r="C32" i="6" s="1"/>
  <c r="D32" i="6" s="1"/>
  <c r="B34" i="1" s="1"/>
  <c r="B31" i="6" a="1"/>
  <c r="B31" i="6" s="1"/>
  <c r="C31" i="6" s="1"/>
  <c r="D31" i="6" s="1"/>
  <c r="B33" i="1" s="1"/>
  <c r="B30" i="6" a="1"/>
  <c r="B30" i="6" s="1"/>
  <c r="C30" i="6" s="1"/>
  <c r="D30" i="6" s="1"/>
  <c r="B32" i="1" s="1"/>
  <c r="B29" i="6" a="1"/>
  <c r="B29" i="6" s="1"/>
  <c r="C29" i="6" s="1"/>
  <c r="D29" i="6" s="1"/>
  <c r="B31" i="1" s="1"/>
  <c r="B28" i="6" a="1"/>
  <c r="B28" i="6" s="1"/>
  <c r="C28" i="6" s="1"/>
  <c r="D28" i="6" s="1"/>
  <c r="B30" i="1" s="1"/>
  <c r="B27" i="6" a="1"/>
  <c r="B27" i="6" s="1"/>
  <c r="C27" i="6" s="1"/>
  <c r="D27" i="6" s="1"/>
  <c r="B29" i="1" s="1"/>
  <c r="B26" i="6" a="1"/>
  <c r="B26" i="6" s="1"/>
  <c r="B25" i="6" a="1"/>
  <c r="B25" i="6" s="1"/>
  <c r="C25" i="6" s="1"/>
  <c r="D25" i="6" s="1"/>
  <c r="B24" i="6" a="1"/>
  <c r="B24" i="6" s="1"/>
  <c r="E24" i="6" s="1"/>
  <c r="C23" i="7" s="1"/>
  <c r="B23" i="6" a="1"/>
  <c r="B23" i="6" s="1"/>
  <c r="F23" i="6" s="1"/>
  <c r="B22" i="6" a="1"/>
  <c r="B22" i="6" s="1"/>
  <c r="D20" i="7" s="1"/>
  <c r="B21" i="6" a="1"/>
  <c r="B21" i="6" s="1"/>
  <c r="B20" i="6" a="1"/>
  <c r="B20" i="6" s="1"/>
  <c r="B19" i="6" a="1"/>
  <c r="B19" i="6" s="1"/>
  <c r="F19" i="6" s="1"/>
  <c r="B18" i="6" a="1"/>
  <c r="B18" i="6" s="1"/>
  <c r="E18" i="6" s="1"/>
  <c r="C18" i="7" s="1"/>
  <c r="B17" i="6" a="1"/>
  <c r="B17" i="6" s="1"/>
  <c r="B16" i="6" a="1"/>
  <c r="B16" i="6" s="1"/>
  <c r="D17" i="7" s="1"/>
  <c r="B15" i="6" a="1"/>
  <c r="B15" i="6" s="1"/>
  <c r="B14" i="6" a="1"/>
  <c r="B14" i="6" s="1"/>
  <c r="E14" i="6" s="1"/>
  <c r="C16" i="7" s="1"/>
  <c r="B13" i="6" a="1"/>
  <c r="B13" i="6" s="1"/>
  <c r="B12" i="6" a="1"/>
  <c r="B12" i="6" s="1"/>
  <c r="F12" i="6" s="1"/>
  <c r="B11" i="6" a="1"/>
  <c r="B11" i="6" s="1"/>
  <c r="C11" i="6" s="1"/>
  <c r="D11" i="6" s="1"/>
  <c r="B10" i="6" a="1"/>
  <c r="B10" i="6" s="1"/>
  <c r="D14" i="7" s="1"/>
  <c r="B9" i="6" a="1"/>
  <c r="B9" i="6" s="1"/>
  <c r="B8" i="6" a="1"/>
  <c r="B8" i="6" s="1"/>
  <c r="E8" i="6" s="1"/>
  <c r="C13" i="7" s="1"/>
  <c r="B7" i="6" a="1"/>
  <c r="B7" i="6" s="1"/>
  <c r="B6" i="6" a="1"/>
  <c r="B6" i="6" s="1"/>
  <c r="D12" i="7" s="1"/>
  <c r="B5" i="6" a="1"/>
  <c r="B5" i="6" s="1"/>
  <c r="F5" i="6" s="1"/>
  <c r="B4" i="6" a="1"/>
  <c r="B4" i="6" s="1"/>
  <c r="B3" i="6" a="1"/>
  <c r="B3" i="6" s="1"/>
  <c r="E3" i="6" s="1"/>
  <c r="F10" i="7" s="1"/>
  <c r="B2" i="6" a="1"/>
  <c r="B2" i="6" s="1"/>
  <c r="E41" i="6"/>
  <c r="F25" i="6"/>
  <c r="N1" i="5"/>
  <c r="C33" i="5"/>
  <c r="C34" i="5"/>
  <c r="C35" i="5"/>
  <c r="E55" i="1"/>
  <c r="L25" i="1"/>
  <c r="L23" i="1"/>
  <c r="E56" i="1"/>
  <c r="L21" i="1"/>
  <c r="E59" i="1"/>
  <c r="M23" i="1"/>
  <c r="M25" i="1"/>
  <c r="M27" i="1"/>
  <c r="M29" i="1"/>
  <c r="M31" i="1"/>
  <c r="M33" i="1"/>
  <c r="I1" i="1"/>
  <c r="H1" i="1"/>
  <c r="E58" i="1"/>
  <c r="L17" i="1"/>
  <c r="M21" i="1"/>
  <c r="M19" i="1"/>
  <c r="M17" i="1"/>
  <c r="M15" i="1"/>
  <c r="E57" i="1"/>
  <c r="L31" i="1"/>
  <c r="D100" i="1"/>
  <c r="E100" i="1"/>
  <c r="H106" i="1"/>
  <c r="C52" i="2"/>
  <c r="C51" i="2"/>
  <c r="J51" i="2"/>
  <c r="N51" i="2"/>
  <c r="O51" i="2"/>
  <c r="R51" i="2"/>
  <c r="S51" i="2"/>
  <c r="V51" i="2"/>
  <c r="W51" i="2"/>
  <c r="Z51" i="2"/>
  <c r="AA51" i="2"/>
  <c r="AD51" i="2"/>
  <c r="AE51" i="2"/>
  <c r="AF51" i="2"/>
  <c r="AH51" i="2"/>
  <c r="AI51" i="2"/>
  <c r="AJ51" i="2"/>
  <c r="AL51" i="2"/>
  <c r="AM51" i="2"/>
  <c r="AN51" i="2"/>
  <c r="AO51" i="2"/>
  <c r="AP51" i="2"/>
  <c r="AQ51" i="2"/>
  <c r="AR51" i="2"/>
  <c r="AS51" i="2"/>
  <c r="AT51" i="2"/>
  <c r="AU51" i="2"/>
  <c r="AV51" i="2"/>
  <c r="AW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DD51" i="2"/>
  <c r="DE51" i="2"/>
  <c r="DF51" i="2"/>
  <c r="DG51" i="2"/>
  <c r="DH51" i="2"/>
  <c r="DI51" i="2"/>
  <c r="DJ51" i="2"/>
  <c r="DK51" i="2"/>
  <c r="DL51" i="2"/>
  <c r="DM51" i="2"/>
  <c r="DN51" i="2"/>
  <c r="DO51" i="2"/>
  <c r="DP51" i="2"/>
  <c r="DQ51" i="2"/>
  <c r="DR51" i="2"/>
  <c r="DS51" i="2"/>
  <c r="DT51" i="2"/>
  <c r="DU51" i="2"/>
  <c r="DV51" i="2"/>
  <c r="DW51" i="2"/>
  <c r="DX51" i="2"/>
  <c r="DY51" i="2"/>
  <c r="DZ51" i="2"/>
  <c r="EA51" i="2"/>
  <c r="EB51" i="2"/>
  <c r="EC51" i="2"/>
  <c r="ED51" i="2"/>
  <c r="EE51" i="2"/>
  <c r="EF51" i="2"/>
  <c r="EG51" i="2"/>
  <c r="EH51" i="2"/>
  <c r="EI51" i="2"/>
  <c r="EJ51" i="2"/>
  <c r="EK51" i="2"/>
  <c r="EL51" i="2"/>
  <c r="EM51" i="2"/>
  <c r="EN51" i="2"/>
  <c r="EO51" i="2"/>
  <c r="EP51" i="2"/>
  <c r="EQ51" i="2"/>
  <c r="ER51" i="2"/>
  <c r="ES51" i="2"/>
  <c r="ET51" i="2"/>
  <c r="EU51" i="2"/>
  <c r="EV51" i="2"/>
  <c r="EW51" i="2"/>
  <c r="EX51" i="2"/>
  <c r="EY51" i="2"/>
  <c r="EZ51" i="2"/>
  <c r="FA51" i="2"/>
  <c r="FB51" i="2"/>
  <c r="FC51" i="2"/>
  <c r="FD51" i="2"/>
  <c r="FE51" i="2"/>
  <c r="FF51" i="2"/>
  <c r="FG51" i="2"/>
  <c r="FH51" i="2"/>
  <c r="FI51" i="2"/>
  <c r="FJ51" i="2"/>
  <c r="FK51" i="2"/>
  <c r="FL51" i="2"/>
  <c r="FM51" i="2"/>
  <c r="FN51" i="2"/>
  <c r="FO51" i="2"/>
  <c r="FP51" i="2"/>
  <c r="FQ51" i="2"/>
  <c r="FR51" i="2"/>
  <c r="FS51" i="2"/>
  <c r="FT51" i="2"/>
  <c r="FU51" i="2"/>
  <c r="FV51" i="2"/>
  <c r="FW51" i="2"/>
  <c r="FX51" i="2"/>
  <c r="FY51" i="2"/>
  <c r="FZ51" i="2"/>
  <c r="GA51" i="2"/>
  <c r="GB51" i="2"/>
  <c r="GC51" i="2"/>
  <c r="GD51" i="2"/>
  <c r="GE51" i="2"/>
  <c r="GF51" i="2"/>
  <c r="GG51" i="2"/>
  <c r="GH51" i="2"/>
  <c r="GI51" i="2"/>
  <c r="GJ51" i="2"/>
  <c r="GK51" i="2"/>
  <c r="GL51" i="2"/>
  <c r="GM51" i="2"/>
  <c r="GN51" i="2"/>
  <c r="GO51" i="2"/>
  <c r="GP51" i="2"/>
  <c r="GQ51" i="2"/>
  <c r="GR51" i="2"/>
  <c r="GS51" i="2"/>
  <c r="GT51" i="2"/>
  <c r="GU51" i="2"/>
  <c r="GV51" i="2"/>
  <c r="GW51" i="2"/>
  <c r="GX51" i="2"/>
  <c r="GY51" i="2"/>
  <c r="GZ51" i="2"/>
  <c r="HA51" i="2"/>
  <c r="HB51" i="2"/>
  <c r="HC51" i="2"/>
  <c r="HD51" i="2"/>
  <c r="HE51" i="2"/>
  <c r="HF51" i="2"/>
  <c r="HG51" i="2"/>
  <c r="HH51" i="2"/>
  <c r="HI51" i="2"/>
  <c r="HJ51" i="2"/>
  <c r="HK51" i="2"/>
  <c r="HL51" i="2"/>
  <c r="HM51" i="2"/>
  <c r="HN51" i="2"/>
  <c r="HO51" i="2"/>
  <c r="HP51" i="2"/>
  <c r="HQ51" i="2"/>
  <c r="HR51" i="2"/>
  <c r="HS51" i="2"/>
  <c r="HT51" i="2"/>
  <c r="HU51" i="2"/>
  <c r="HV51" i="2"/>
  <c r="HW51" i="2"/>
  <c r="HX51" i="2"/>
  <c r="HY51" i="2"/>
  <c r="HZ51" i="2"/>
  <c r="IA51" i="2"/>
  <c r="IB51" i="2"/>
  <c r="IC51" i="2"/>
  <c r="ID51" i="2"/>
  <c r="IE51" i="2"/>
  <c r="IF51" i="2"/>
  <c r="IG51" i="2"/>
  <c r="IH51" i="2"/>
  <c r="II51" i="2"/>
  <c r="IJ51" i="2"/>
  <c r="IK51" i="2"/>
  <c r="IL51" i="2"/>
  <c r="IM51" i="2"/>
  <c r="IN51" i="2"/>
  <c r="IO51" i="2"/>
  <c r="IP51" i="2"/>
  <c r="IQ51" i="2"/>
  <c r="IR51" i="2"/>
  <c r="IS51" i="2"/>
  <c r="IT51" i="2"/>
  <c r="IU51" i="2"/>
  <c r="IV51" i="2"/>
  <c r="IW51" i="2"/>
  <c r="IX51" i="2"/>
  <c r="IY51" i="2"/>
  <c r="IZ51" i="2"/>
  <c r="JA51" i="2"/>
  <c r="JB51" i="2"/>
  <c r="JC51" i="2"/>
  <c r="JD51" i="2"/>
  <c r="JE51" i="2"/>
  <c r="JF51" i="2"/>
  <c r="JG51" i="2"/>
  <c r="JH51" i="2"/>
  <c r="JI51" i="2"/>
  <c r="JJ51" i="2"/>
  <c r="JK51" i="2"/>
  <c r="JL51" i="2"/>
  <c r="JM51" i="2"/>
  <c r="JN51" i="2"/>
  <c r="JO51" i="2"/>
  <c r="JP51" i="2"/>
  <c r="JQ51" i="2"/>
  <c r="JR51" i="2"/>
  <c r="JS51" i="2"/>
  <c r="JT51" i="2"/>
  <c r="JU51" i="2"/>
  <c r="JV51" i="2"/>
  <c r="JW51" i="2"/>
  <c r="JX51" i="2"/>
  <c r="JY51" i="2"/>
  <c r="JZ51" i="2"/>
  <c r="KA51" i="2"/>
  <c r="KB51" i="2"/>
  <c r="KC51" i="2"/>
  <c r="KD51" i="2"/>
  <c r="KE51" i="2"/>
  <c r="KF51" i="2"/>
  <c r="KG51" i="2"/>
  <c r="KH51" i="2"/>
  <c r="KI51" i="2"/>
  <c r="KJ51" i="2"/>
  <c r="KK51" i="2"/>
  <c r="KL51" i="2"/>
  <c r="KM51" i="2"/>
  <c r="KN51" i="2"/>
  <c r="KO51" i="2"/>
  <c r="KP51" i="2"/>
  <c r="KQ51" i="2"/>
  <c r="KR51" i="2"/>
  <c r="KS51" i="2"/>
  <c r="KT51" i="2"/>
  <c r="KU51" i="2"/>
  <c r="KV51" i="2"/>
  <c r="KW51" i="2"/>
  <c r="KX51" i="2"/>
  <c r="KY51" i="2"/>
  <c r="KZ51" i="2"/>
  <c r="LA51" i="2"/>
  <c r="LB51" i="2"/>
  <c r="LC51" i="2"/>
  <c r="LD51" i="2"/>
  <c r="LE51" i="2"/>
  <c r="LF51" i="2"/>
  <c r="LG51" i="2"/>
  <c r="LH51" i="2"/>
  <c r="LI51" i="2"/>
  <c r="LJ51" i="2"/>
  <c r="LK51" i="2"/>
  <c r="LL51" i="2"/>
  <c r="LM51" i="2"/>
  <c r="LN51" i="2"/>
  <c r="LO51" i="2"/>
  <c r="LP51" i="2"/>
  <c r="LQ51" i="2"/>
  <c r="LR51" i="2"/>
  <c r="LS51" i="2"/>
  <c r="LT51" i="2"/>
  <c r="LU51" i="2"/>
  <c r="LV51" i="2"/>
  <c r="LW51" i="2"/>
  <c r="LX51" i="2"/>
  <c r="LY51" i="2"/>
  <c r="LZ51" i="2"/>
  <c r="MA51" i="2"/>
  <c r="MB51" i="2"/>
  <c r="MC51" i="2"/>
  <c r="MD51" i="2"/>
  <c r="ME51" i="2"/>
  <c r="MF51" i="2"/>
  <c r="MG51" i="2"/>
  <c r="MH51" i="2"/>
  <c r="MI51" i="2"/>
  <c r="MJ51" i="2"/>
  <c r="MK51" i="2"/>
  <c r="ML51" i="2"/>
  <c r="MM51" i="2"/>
  <c r="MN51" i="2"/>
  <c r="MO51" i="2"/>
  <c r="MP51" i="2"/>
  <c r="MQ51" i="2"/>
  <c r="MR51" i="2"/>
  <c r="MS51" i="2"/>
  <c r="MT51" i="2"/>
  <c r="MU51" i="2"/>
  <c r="MV51" i="2"/>
  <c r="MW51" i="2"/>
  <c r="MX51" i="2"/>
  <c r="MY51" i="2"/>
  <c r="MZ51" i="2"/>
  <c r="NA51" i="2"/>
  <c r="NB51" i="2"/>
  <c r="NC51" i="2"/>
  <c r="ND51" i="2"/>
  <c r="NE51" i="2"/>
  <c r="NF51" i="2"/>
  <c r="NG51" i="2"/>
  <c r="NH51" i="2"/>
  <c r="NI51" i="2"/>
  <c r="NJ51" i="2"/>
  <c r="NK51" i="2"/>
  <c r="NL51" i="2"/>
  <c r="NM51" i="2"/>
  <c r="NN51" i="2"/>
  <c r="NO51" i="2"/>
  <c r="NP51" i="2"/>
  <c r="NQ51" i="2"/>
  <c r="NR51" i="2"/>
  <c r="NS51" i="2"/>
  <c r="NT51" i="2"/>
  <c r="NU51" i="2"/>
  <c r="NV51" i="2"/>
  <c r="NW51" i="2"/>
  <c r="NX51" i="2"/>
  <c r="NY51" i="2"/>
  <c r="NZ51" i="2"/>
  <c r="OA51" i="2"/>
  <c r="OB51" i="2"/>
  <c r="OC51" i="2"/>
  <c r="OD51" i="2"/>
  <c r="OE51" i="2"/>
  <c r="OF51" i="2"/>
  <c r="OG51" i="2"/>
  <c r="OH51" i="2"/>
  <c r="OI51" i="2"/>
  <c r="OJ51" i="2"/>
  <c r="OK51" i="2"/>
  <c r="OL51" i="2"/>
  <c r="OM51" i="2"/>
  <c r="ON51" i="2"/>
  <c r="OO51" i="2"/>
  <c r="OP51" i="2"/>
  <c r="OQ51" i="2"/>
  <c r="OR51" i="2"/>
  <c r="OS51" i="2"/>
  <c r="OT51" i="2"/>
  <c r="OU51" i="2"/>
  <c r="OV51" i="2"/>
  <c r="OW51" i="2"/>
  <c r="OX51" i="2"/>
  <c r="OY51" i="2"/>
  <c r="OZ51" i="2"/>
  <c r="PA51" i="2"/>
  <c r="PB51" i="2"/>
  <c r="PC51" i="2"/>
  <c r="PD51" i="2"/>
  <c r="PE51" i="2"/>
  <c r="PF51" i="2"/>
  <c r="PG51" i="2"/>
  <c r="PH51" i="2"/>
  <c r="PI51" i="2"/>
  <c r="PJ51" i="2"/>
  <c r="PK51" i="2"/>
  <c r="PL51" i="2"/>
  <c r="PM51" i="2"/>
  <c r="PN51" i="2"/>
  <c r="PO51" i="2"/>
  <c r="PP51" i="2"/>
  <c r="PQ51" i="2"/>
  <c r="PR51" i="2"/>
  <c r="PS51" i="2"/>
  <c r="PT51" i="2"/>
  <c r="PU51" i="2"/>
  <c r="PV51" i="2"/>
  <c r="PW51" i="2"/>
  <c r="PX51" i="2"/>
  <c r="PY51" i="2"/>
  <c r="PZ51" i="2"/>
  <c r="QA51" i="2"/>
  <c r="QB51" i="2"/>
  <c r="QC51" i="2"/>
  <c r="QD51" i="2"/>
  <c r="QE51" i="2"/>
  <c r="QF51" i="2"/>
  <c r="QG51" i="2"/>
  <c r="QH51" i="2"/>
  <c r="QI51" i="2"/>
  <c r="QJ51" i="2"/>
  <c r="QK51" i="2"/>
  <c r="QL51" i="2"/>
  <c r="QM51" i="2"/>
  <c r="QN51" i="2"/>
  <c r="QO51" i="2"/>
  <c r="QP51" i="2"/>
  <c r="QQ51" i="2"/>
  <c r="QR51" i="2"/>
  <c r="QS51" i="2"/>
  <c r="QT51" i="2"/>
  <c r="QU51" i="2"/>
  <c r="QV51" i="2"/>
  <c r="QW51" i="2"/>
  <c r="QX51" i="2"/>
  <c r="QY51" i="2"/>
  <c r="QZ51" i="2"/>
  <c r="RA51" i="2"/>
  <c r="RB51" i="2"/>
  <c r="RC51" i="2"/>
  <c r="RD51" i="2"/>
  <c r="RE51" i="2"/>
  <c r="RF51" i="2"/>
  <c r="RG51" i="2"/>
  <c r="RH51" i="2"/>
  <c r="RI51" i="2"/>
  <c r="RJ51" i="2"/>
  <c r="RK51" i="2"/>
  <c r="RL51" i="2"/>
  <c r="RM51" i="2"/>
  <c r="RN51" i="2"/>
  <c r="RO51" i="2"/>
  <c r="RP51" i="2"/>
  <c r="RQ51" i="2"/>
  <c r="RR51" i="2"/>
  <c r="RS51" i="2"/>
  <c r="RT51" i="2"/>
  <c r="RU51" i="2"/>
  <c r="RV51" i="2"/>
  <c r="RW51" i="2"/>
  <c r="RX51" i="2"/>
  <c r="RY51" i="2"/>
  <c r="RZ51" i="2"/>
  <c r="SA51" i="2"/>
  <c r="SB51" i="2"/>
  <c r="SC51" i="2"/>
  <c r="SD51" i="2"/>
  <c r="SE51" i="2"/>
  <c r="SF51" i="2"/>
  <c r="SG51" i="2"/>
  <c r="SH51" i="2"/>
  <c r="SI51" i="2"/>
  <c r="SJ51" i="2"/>
  <c r="SK51" i="2"/>
  <c r="SL51" i="2"/>
  <c r="SM51" i="2"/>
  <c r="SN51" i="2"/>
  <c r="SO51" i="2"/>
  <c r="SP51" i="2"/>
  <c r="SQ51" i="2"/>
  <c r="SR51" i="2"/>
  <c r="SS51" i="2"/>
  <c r="ST51" i="2"/>
  <c r="SU51" i="2"/>
  <c r="SV51" i="2"/>
  <c r="SW51" i="2"/>
  <c r="SX51" i="2"/>
  <c r="SY51" i="2"/>
  <c r="SZ51" i="2"/>
  <c r="TA51" i="2"/>
  <c r="TB51" i="2"/>
  <c r="TC51" i="2"/>
  <c r="TD51" i="2"/>
  <c r="TE51" i="2"/>
  <c r="TF51" i="2"/>
  <c r="TG51" i="2"/>
  <c r="TH51" i="2"/>
  <c r="TI51" i="2"/>
  <c r="TJ51" i="2"/>
  <c r="TK51" i="2"/>
  <c r="TL51" i="2"/>
  <c r="TM51" i="2"/>
  <c r="TN51" i="2"/>
  <c r="TO51" i="2"/>
  <c r="TP51" i="2"/>
  <c r="TQ51" i="2"/>
  <c r="TR51" i="2"/>
  <c r="TS51" i="2"/>
  <c r="TT51" i="2"/>
  <c r="TU51" i="2"/>
  <c r="TV51" i="2"/>
  <c r="TW51" i="2"/>
  <c r="TX51" i="2"/>
  <c r="TY51" i="2"/>
  <c r="TZ51" i="2"/>
  <c r="UA51" i="2"/>
  <c r="UB51" i="2"/>
  <c r="UC51" i="2"/>
  <c r="UD51" i="2"/>
  <c r="UE51" i="2"/>
  <c r="UF51" i="2"/>
  <c r="UG51" i="2"/>
  <c r="UH51" i="2"/>
  <c r="UI51" i="2"/>
  <c r="UJ51" i="2"/>
  <c r="UK51" i="2"/>
  <c r="UL51" i="2"/>
  <c r="UM51" i="2"/>
  <c r="UN51" i="2"/>
  <c r="UO51" i="2"/>
  <c r="UP51" i="2"/>
  <c r="UQ51" i="2"/>
  <c r="UR51" i="2"/>
  <c r="US51" i="2"/>
  <c r="UT51" i="2"/>
  <c r="UU51" i="2"/>
  <c r="UV51" i="2"/>
  <c r="UW51" i="2"/>
  <c r="UX51" i="2"/>
  <c r="UY51" i="2"/>
  <c r="UZ51" i="2"/>
  <c r="VA51" i="2"/>
  <c r="VB51" i="2"/>
  <c r="VC51" i="2"/>
  <c r="VD51" i="2"/>
  <c r="VE51" i="2"/>
  <c r="VF51" i="2"/>
  <c r="VG51" i="2"/>
  <c r="VH51" i="2"/>
  <c r="VI51" i="2"/>
  <c r="VJ51" i="2"/>
  <c r="VK51" i="2"/>
  <c r="VL51" i="2"/>
  <c r="VM51" i="2"/>
  <c r="VN51" i="2"/>
  <c r="VO51" i="2"/>
  <c r="VP51" i="2"/>
  <c r="VQ51" i="2"/>
  <c r="VR51" i="2"/>
  <c r="VS51" i="2"/>
  <c r="VT51" i="2"/>
  <c r="VU51" i="2"/>
  <c r="VV51" i="2"/>
  <c r="VW51" i="2"/>
  <c r="VX51" i="2"/>
  <c r="VY51" i="2"/>
  <c r="VZ51" i="2"/>
  <c r="WA51" i="2"/>
  <c r="WB51" i="2"/>
  <c r="WC51" i="2"/>
  <c r="WD51" i="2"/>
  <c r="WE51" i="2"/>
  <c r="WF51" i="2"/>
  <c r="WG51" i="2"/>
  <c r="WH51" i="2"/>
  <c r="WI51" i="2"/>
  <c r="WJ51" i="2"/>
  <c r="WK51" i="2"/>
  <c r="WL51" i="2"/>
  <c r="WM51" i="2"/>
  <c r="WN51" i="2"/>
  <c r="J100" i="1"/>
  <c r="E28" i="2"/>
  <c r="GM28" i="2"/>
  <c r="GM36" i="2"/>
  <c r="E32" i="2"/>
  <c r="GS32" i="2"/>
  <c r="GS36" i="2"/>
  <c r="HY32" i="2"/>
  <c r="E24" i="2"/>
  <c r="R24" i="2"/>
  <c r="V24" i="2"/>
  <c r="AH24" i="2"/>
  <c r="AP24" i="2"/>
  <c r="BB24" i="2"/>
  <c r="BN24" i="2"/>
  <c r="BV24" i="2"/>
  <c r="CH24" i="2"/>
  <c r="CT24" i="2"/>
  <c r="DB24" i="2"/>
  <c r="K28" i="2"/>
  <c r="N28" i="2"/>
  <c r="P28" i="2"/>
  <c r="R28" i="2"/>
  <c r="S28" i="2"/>
  <c r="T28" i="2"/>
  <c r="V28" i="2"/>
  <c r="W28" i="2"/>
  <c r="X28" i="2"/>
  <c r="Z28" i="2"/>
  <c r="AA28" i="2"/>
  <c r="AB28" i="2"/>
  <c r="AD28" i="2"/>
  <c r="AE28" i="2"/>
  <c r="AF28" i="2"/>
  <c r="AH28" i="2"/>
  <c r="AI28" i="2"/>
  <c r="AJ28" i="2"/>
  <c r="AL28" i="2"/>
  <c r="AM28" i="2"/>
  <c r="AN28" i="2"/>
  <c r="AP28" i="2"/>
  <c r="AQ28" i="2"/>
  <c r="AR28" i="2"/>
  <c r="AT28" i="2"/>
  <c r="AU28" i="2"/>
  <c r="AV28" i="2"/>
  <c r="AX28" i="2"/>
  <c r="AY28" i="2"/>
  <c r="AZ28" i="2"/>
  <c r="BB28" i="2"/>
  <c r="BC28" i="2"/>
  <c r="BD28" i="2"/>
  <c r="BF28" i="2"/>
  <c r="BG28" i="2"/>
  <c r="BH28" i="2"/>
  <c r="BJ28" i="2"/>
  <c r="BK28" i="2"/>
  <c r="BL28" i="2"/>
  <c r="BN28" i="2"/>
  <c r="BO28" i="2"/>
  <c r="BP28" i="2"/>
  <c r="BR28" i="2"/>
  <c r="BS28" i="2"/>
  <c r="BT28" i="2"/>
  <c r="BV28" i="2"/>
  <c r="BW28" i="2"/>
  <c r="BX28" i="2"/>
  <c r="BZ28" i="2"/>
  <c r="CA28" i="2"/>
  <c r="CB28" i="2"/>
  <c r="CD28" i="2"/>
  <c r="CE28" i="2"/>
  <c r="CF28" i="2"/>
  <c r="CH28" i="2"/>
  <c r="CI28" i="2"/>
  <c r="CJ28" i="2"/>
  <c r="CL28" i="2"/>
  <c r="CM28" i="2"/>
  <c r="CN28" i="2"/>
  <c r="CP28" i="2"/>
  <c r="CQ28" i="2"/>
  <c r="CR28" i="2"/>
  <c r="CT28" i="2"/>
  <c r="CU28" i="2"/>
  <c r="CV28" i="2"/>
  <c r="CX28" i="2"/>
  <c r="CY28" i="2"/>
  <c r="CZ28" i="2"/>
  <c r="DB28" i="2"/>
  <c r="DC28" i="2"/>
  <c r="DD28" i="2"/>
  <c r="E29" i="2"/>
  <c r="P29" i="2"/>
  <c r="X29" i="2"/>
  <c r="AI29" i="2"/>
  <c r="AS29" i="2"/>
  <c r="BD29" i="2"/>
  <c r="BO29" i="2"/>
  <c r="BY29" i="2"/>
  <c r="CJ29" i="2"/>
  <c r="CU29" i="2"/>
  <c r="DE29" i="2"/>
  <c r="E30" i="2"/>
  <c r="U30" i="2"/>
  <c r="U36" i="2"/>
  <c r="P30" i="2"/>
  <c r="Z30" i="2"/>
  <c r="AF30" i="2"/>
  <c r="AK30" i="2"/>
  <c r="AV30" i="2"/>
  <c r="BA30" i="2"/>
  <c r="BF30" i="2"/>
  <c r="BQ30" i="2"/>
  <c r="BV30" i="2"/>
  <c r="CB30" i="2"/>
  <c r="CL30" i="2"/>
  <c r="CR30" i="2"/>
  <c r="CW30" i="2"/>
  <c r="E31" i="2"/>
  <c r="W31" i="2"/>
  <c r="AC31" i="2"/>
  <c r="AX31" i="2"/>
  <c r="BS31" i="2"/>
  <c r="CO31" i="2"/>
  <c r="K32" i="2"/>
  <c r="L32" i="2"/>
  <c r="N32" i="2"/>
  <c r="O32" i="2"/>
  <c r="P32" i="2"/>
  <c r="R32" i="2"/>
  <c r="S32" i="2"/>
  <c r="T32" i="2"/>
  <c r="V32" i="2"/>
  <c r="W32" i="2"/>
  <c r="X32" i="2"/>
  <c r="Z32" i="2"/>
  <c r="AA32" i="2"/>
  <c r="AB32" i="2"/>
  <c r="AD32" i="2"/>
  <c r="AE32" i="2"/>
  <c r="AF32" i="2"/>
  <c r="AH32" i="2"/>
  <c r="AI32" i="2"/>
  <c r="AJ32" i="2"/>
  <c r="AL32" i="2"/>
  <c r="AM32" i="2"/>
  <c r="AN32" i="2"/>
  <c r="AP32" i="2"/>
  <c r="AQ32" i="2"/>
  <c r="AR32" i="2"/>
  <c r="AT32" i="2"/>
  <c r="AU32" i="2"/>
  <c r="AV32" i="2"/>
  <c r="AX32" i="2"/>
  <c r="AY32" i="2"/>
  <c r="AZ32" i="2"/>
  <c r="BB32" i="2"/>
  <c r="BC32" i="2"/>
  <c r="BD32" i="2"/>
  <c r="BF32" i="2"/>
  <c r="BG32" i="2"/>
  <c r="BH32" i="2"/>
  <c r="BJ32" i="2"/>
  <c r="BK32" i="2"/>
  <c r="BL32" i="2"/>
  <c r="BN32" i="2"/>
  <c r="BO32" i="2"/>
  <c r="BP32" i="2"/>
  <c r="BR32" i="2"/>
  <c r="BS32" i="2"/>
  <c r="BT32" i="2"/>
  <c r="BV32" i="2"/>
  <c r="BW32" i="2"/>
  <c r="BX32" i="2"/>
  <c r="BZ32" i="2"/>
  <c r="CA32" i="2"/>
  <c r="CB32" i="2"/>
  <c r="CD32" i="2"/>
  <c r="CE32" i="2"/>
  <c r="CF32" i="2"/>
  <c r="CH32" i="2"/>
  <c r="CI32" i="2"/>
  <c r="CJ32" i="2"/>
  <c r="CL32" i="2"/>
  <c r="CM32" i="2"/>
  <c r="CN32" i="2"/>
  <c r="CP32" i="2"/>
  <c r="CQ32" i="2"/>
  <c r="CR32" i="2"/>
  <c r="CT32" i="2"/>
  <c r="CU32" i="2"/>
  <c r="CV32" i="2"/>
  <c r="CX32" i="2"/>
  <c r="CY32" i="2"/>
  <c r="CZ32" i="2"/>
  <c r="DB32" i="2"/>
  <c r="DC32" i="2"/>
  <c r="DD32" i="2"/>
  <c r="J24" i="2"/>
  <c r="E25" i="2"/>
  <c r="J25" i="2"/>
  <c r="J28" i="2"/>
  <c r="J29" i="2"/>
  <c r="J30" i="2"/>
  <c r="J32" i="2"/>
  <c r="E23" i="2"/>
  <c r="F23" i="2"/>
  <c r="J23" i="2"/>
  <c r="G36" i="2"/>
  <c r="F24" i="2"/>
  <c r="F28" i="2"/>
  <c r="F32" i="2"/>
  <c r="E26" i="2"/>
  <c r="E27" i="2"/>
  <c r="F27" i="2"/>
  <c r="L29" i="2"/>
  <c r="M30" i="2"/>
  <c r="K31" i="2"/>
  <c r="C27" i="2"/>
  <c r="C28" i="2"/>
  <c r="C29" i="2"/>
  <c r="C30" i="2"/>
  <c r="C31" i="2"/>
  <c r="C32" i="2"/>
  <c r="DC31" i="2"/>
  <c r="CX31" i="2"/>
  <c r="CS31" i="2"/>
  <c r="CH31" i="2"/>
  <c r="CC31" i="2"/>
  <c r="BW31" i="2"/>
  <c r="BM31" i="2"/>
  <c r="BG31" i="2"/>
  <c r="BB31" i="2"/>
  <c r="AQ31" i="2"/>
  <c r="AL31" i="2"/>
  <c r="AG31" i="2"/>
  <c r="V31" i="2"/>
  <c r="Q31" i="2"/>
  <c r="DA30" i="2"/>
  <c r="CV30" i="2"/>
  <c r="CP30" i="2"/>
  <c r="CK30" i="2"/>
  <c r="CF30" i="2"/>
  <c r="BZ30" i="2"/>
  <c r="BU30" i="2"/>
  <c r="BP30" i="2"/>
  <c r="BJ30" i="2"/>
  <c r="BE30" i="2"/>
  <c r="AZ30" i="2"/>
  <c r="AT30" i="2"/>
  <c r="AO30" i="2"/>
  <c r="AJ30" i="2"/>
  <c r="AD30" i="2"/>
  <c r="Y30" i="2"/>
  <c r="T30" i="2"/>
  <c r="N30" i="2"/>
  <c r="DD29" i="2"/>
  <c r="CY29" i="2"/>
  <c r="CS29" i="2"/>
  <c r="CN29" i="2"/>
  <c r="CI29" i="2"/>
  <c r="CC29" i="2"/>
  <c r="BX29" i="2"/>
  <c r="BS29" i="2"/>
  <c r="BM29" i="2"/>
  <c r="BH29" i="2"/>
  <c r="BC29" i="2"/>
  <c r="AW29" i="2"/>
  <c r="AR29" i="2"/>
  <c r="AM29" i="2"/>
  <c r="AG29" i="2"/>
  <c r="AB29" i="2"/>
  <c r="U29" i="2"/>
  <c r="M29" i="2"/>
  <c r="DF31" i="2"/>
  <c r="DJ31" i="2"/>
  <c r="DN31" i="2"/>
  <c r="DR31" i="2"/>
  <c r="DV31" i="2"/>
  <c r="DZ31" i="2"/>
  <c r="ED31" i="2"/>
  <c r="DG31" i="2"/>
  <c r="DL31" i="2"/>
  <c r="DQ31" i="2"/>
  <c r="DW31" i="2"/>
  <c r="EB31" i="2"/>
  <c r="EG31" i="2"/>
  <c r="EK31" i="2"/>
  <c r="EO31" i="2"/>
  <c r="ES31" i="2"/>
  <c r="EW31" i="2"/>
  <c r="FA31" i="2"/>
  <c r="FE31" i="2"/>
  <c r="FI31" i="2"/>
  <c r="DH31" i="2"/>
  <c r="DM31" i="2"/>
  <c r="DS31" i="2"/>
  <c r="DX31" i="2"/>
  <c r="EC31" i="2"/>
  <c r="EH31" i="2"/>
  <c r="EL31" i="2"/>
  <c r="EP31" i="2"/>
  <c r="ET31" i="2"/>
  <c r="EX31" i="2"/>
  <c r="FB31" i="2"/>
  <c r="FF31" i="2"/>
  <c r="FJ31" i="2"/>
  <c r="FN31" i="2"/>
  <c r="FR31" i="2"/>
  <c r="FV31" i="2"/>
  <c r="FZ31" i="2"/>
  <c r="GD31" i="2"/>
  <c r="GH31" i="2"/>
  <c r="GL31" i="2"/>
  <c r="GP31" i="2"/>
  <c r="GT31" i="2"/>
  <c r="GX31" i="2"/>
  <c r="HB31" i="2"/>
  <c r="HF31" i="2"/>
  <c r="HJ31" i="2"/>
  <c r="HN31" i="2"/>
  <c r="HR31" i="2"/>
  <c r="HV31" i="2"/>
  <c r="HZ31" i="2"/>
  <c r="ID31" i="2"/>
  <c r="IH31" i="2"/>
  <c r="IL31" i="2"/>
  <c r="IP31" i="2"/>
  <c r="IT31" i="2"/>
  <c r="IX31" i="2"/>
  <c r="JB31" i="2"/>
  <c r="JF31" i="2"/>
  <c r="JJ31" i="2"/>
  <c r="JN31" i="2"/>
  <c r="JR31" i="2"/>
  <c r="JV31" i="2"/>
  <c r="JZ31" i="2"/>
  <c r="DI31" i="2"/>
  <c r="DO31" i="2"/>
  <c r="DT31" i="2"/>
  <c r="DY31" i="2"/>
  <c r="EE31" i="2"/>
  <c r="EI31" i="2"/>
  <c r="EM31" i="2"/>
  <c r="EQ31" i="2"/>
  <c r="EU31" i="2"/>
  <c r="EY31" i="2"/>
  <c r="FC31" i="2"/>
  <c r="FG31" i="2"/>
  <c r="FK31" i="2"/>
  <c r="FO31" i="2"/>
  <c r="FS31" i="2"/>
  <c r="FW31" i="2"/>
  <c r="GA31" i="2"/>
  <c r="GE31" i="2"/>
  <c r="GI31" i="2"/>
  <c r="GM31" i="2"/>
  <c r="GQ31" i="2"/>
  <c r="GU31" i="2"/>
  <c r="GY31" i="2"/>
  <c r="HC31" i="2"/>
  <c r="HG31" i="2"/>
  <c r="HK31" i="2"/>
  <c r="HO31" i="2"/>
  <c r="HS31" i="2"/>
  <c r="HW31" i="2"/>
  <c r="IA31" i="2"/>
  <c r="IE31" i="2"/>
  <c r="II31" i="2"/>
  <c r="IM31" i="2"/>
  <c r="IQ31" i="2"/>
  <c r="IU31" i="2"/>
  <c r="IY31" i="2"/>
  <c r="JC31" i="2"/>
  <c r="JG31" i="2"/>
  <c r="JK31" i="2"/>
  <c r="JO31" i="2"/>
  <c r="JS31" i="2"/>
  <c r="JW31" i="2"/>
  <c r="KA31" i="2"/>
  <c r="DK31" i="2"/>
  <c r="EF31" i="2"/>
  <c r="EV31" i="2"/>
  <c r="FL31" i="2"/>
  <c r="FT31" i="2"/>
  <c r="GB31" i="2"/>
  <c r="GJ31" i="2"/>
  <c r="GR31" i="2"/>
  <c r="GZ31" i="2"/>
  <c r="HH31" i="2"/>
  <c r="HP31" i="2"/>
  <c r="HX31" i="2"/>
  <c r="IF31" i="2"/>
  <c r="IN31" i="2"/>
  <c r="IV31" i="2"/>
  <c r="JD31" i="2"/>
  <c r="JL31" i="2"/>
  <c r="JT31" i="2"/>
  <c r="KB31" i="2"/>
  <c r="DP31" i="2"/>
  <c r="EJ31" i="2"/>
  <c r="EZ31" i="2"/>
  <c r="FM31" i="2"/>
  <c r="FU31" i="2"/>
  <c r="GC31" i="2"/>
  <c r="GK31" i="2"/>
  <c r="GS31" i="2"/>
  <c r="HA31" i="2"/>
  <c r="HI31" i="2"/>
  <c r="HQ31" i="2"/>
  <c r="HY31" i="2"/>
  <c r="IG31" i="2"/>
  <c r="IO31" i="2"/>
  <c r="IW31" i="2"/>
  <c r="JE31" i="2"/>
  <c r="JM31" i="2"/>
  <c r="JU31" i="2"/>
  <c r="KC31" i="2"/>
  <c r="DU31" i="2"/>
  <c r="EN31" i="2"/>
  <c r="FD31" i="2"/>
  <c r="FP31" i="2"/>
  <c r="FX31" i="2"/>
  <c r="GF31" i="2"/>
  <c r="GN31" i="2"/>
  <c r="GV31" i="2"/>
  <c r="HD31" i="2"/>
  <c r="HL31" i="2"/>
  <c r="HT31" i="2"/>
  <c r="IB31" i="2"/>
  <c r="IJ31" i="2"/>
  <c r="IR31" i="2"/>
  <c r="IZ31" i="2"/>
  <c r="JH31" i="2"/>
  <c r="JP31" i="2"/>
  <c r="JX31" i="2"/>
  <c r="FH31" i="2"/>
  <c r="GO31" i="2"/>
  <c r="HU31" i="2"/>
  <c r="JA31" i="2"/>
  <c r="FQ31" i="2"/>
  <c r="GW31" i="2"/>
  <c r="IC31" i="2"/>
  <c r="JI31" i="2"/>
  <c r="EA31" i="2"/>
  <c r="FY31" i="2"/>
  <c r="HE31" i="2"/>
  <c r="IK31" i="2"/>
  <c r="JQ31" i="2"/>
  <c r="L31" i="2"/>
  <c r="P31" i="2"/>
  <c r="T31" i="2"/>
  <c r="X31" i="2"/>
  <c r="AB31" i="2"/>
  <c r="AF31" i="2"/>
  <c r="AJ31" i="2"/>
  <c r="AN31" i="2"/>
  <c r="AR31" i="2"/>
  <c r="AV31" i="2"/>
  <c r="AZ31" i="2"/>
  <c r="BD31" i="2"/>
  <c r="BH31" i="2"/>
  <c r="BL31" i="2"/>
  <c r="BP31" i="2"/>
  <c r="BT31" i="2"/>
  <c r="BX31" i="2"/>
  <c r="CB31" i="2"/>
  <c r="CF31" i="2"/>
  <c r="CJ31" i="2"/>
  <c r="CN31" i="2"/>
  <c r="CR31" i="2"/>
  <c r="CV31" i="2"/>
  <c r="CZ31" i="2"/>
  <c r="DD31" i="2"/>
  <c r="J31" i="2"/>
  <c r="ER31" i="2"/>
  <c r="GG31" i="2"/>
  <c r="HM31" i="2"/>
  <c r="IS31" i="2"/>
  <c r="JY31" i="2"/>
  <c r="DB31" i="2"/>
  <c r="CW31" i="2"/>
  <c r="CQ31" i="2"/>
  <c r="CL31" i="2"/>
  <c r="CG31" i="2"/>
  <c r="CA31" i="2"/>
  <c r="BV31" i="2"/>
  <c r="BQ31" i="2"/>
  <c r="BK31" i="2"/>
  <c r="BF31" i="2"/>
  <c r="BA31" i="2"/>
  <c r="AU31" i="2"/>
  <c r="AP31" i="2"/>
  <c r="AK31" i="2"/>
  <c r="AE31" i="2"/>
  <c r="Z31" i="2"/>
  <c r="U31" i="2"/>
  <c r="O31" i="2"/>
  <c r="DE30" i="2"/>
  <c r="CZ30" i="2"/>
  <c r="CT30" i="2"/>
  <c r="CO30" i="2"/>
  <c r="CJ30" i="2"/>
  <c r="CD30" i="2"/>
  <c r="BY30" i="2"/>
  <c r="BT30" i="2"/>
  <c r="BN30" i="2"/>
  <c r="BI30" i="2"/>
  <c r="BD30" i="2"/>
  <c r="AX30" i="2"/>
  <c r="AS30" i="2"/>
  <c r="AN30" i="2"/>
  <c r="AH30" i="2"/>
  <c r="AC30" i="2"/>
  <c r="X30" i="2"/>
  <c r="R30" i="2"/>
  <c r="DC29" i="2"/>
  <c r="CW29" i="2"/>
  <c r="CR29" i="2"/>
  <c r="CM29" i="2"/>
  <c r="CG29" i="2"/>
  <c r="CB29" i="2"/>
  <c r="BW29" i="2"/>
  <c r="BQ29" i="2"/>
  <c r="BL29" i="2"/>
  <c r="BG29" i="2"/>
  <c r="BA29" i="2"/>
  <c r="AV29" i="2"/>
  <c r="AQ29" i="2"/>
  <c r="AK29" i="2"/>
  <c r="AF29" i="2"/>
  <c r="AA29" i="2"/>
  <c r="T29" i="2"/>
  <c r="DI27" i="2"/>
  <c r="DM27" i="2"/>
  <c r="DQ27" i="2"/>
  <c r="DU27" i="2"/>
  <c r="DY27" i="2"/>
  <c r="EC27" i="2"/>
  <c r="EG27" i="2"/>
  <c r="EK27" i="2"/>
  <c r="EO27" i="2"/>
  <c r="ES27" i="2"/>
  <c r="EW27" i="2"/>
  <c r="FA27" i="2"/>
  <c r="FE27" i="2"/>
  <c r="FI27" i="2"/>
  <c r="FM27" i="2"/>
  <c r="FQ27" i="2"/>
  <c r="FU27" i="2"/>
  <c r="FY27" i="2"/>
  <c r="GC27" i="2"/>
  <c r="GG27" i="2"/>
  <c r="GK27" i="2"/>
  <c r="GO27" i="2"/>
  <c r="GS27" i="2"/>
  <c r="GW27" i="2"/>
  <c r="HA27" i="2"/>
  <c r="HE27" i="2"/>
  <c r="HI27" i="2"/>
  <c r="HM27" i="2"/>
  <c r="HQ27" i="2"/>
  <c r="HU27" i="2"/>
  <c r="HY27" i="2"/>
  <c r="IC27" i="2"/>
  <c r="IG27" i="2"/>
  <c r="IK27" i="2"/>
  <c r="IO27" i="2"/>
  <c r="IS27" i="2"/>
  <c r="IW27" i="2"/>
  <c r="JA27" i="2"/>
  <c r="JE27" i="2"/>
  <c r="JI27" i="2"/>
  <c r="JM27" i="2"/>
  <c r="JQ27" i="2"/>
  <c r="JU27" i="2"/>
  <c r="JY27" i="2"/>
  <c r="KC27" i="2"/>
  <c r="DF27" i="2"/>
  <c r="DJ27" i="2"/>
  <c r="DN27" i="2"/>
  <c r="DR27" i="2"/>
  <c r="DV27" i="2"/>
  <c r="DZ27" i="2"/>
  <c r="ED27" i="2"/>
  <c r="EH27" i="2"/>
  <c r="EL27" i="2"/>
  <c r="EP27" i="2"/>
  <c r="ET27" i="2"/>
  <c r="EX27" i="2"/>
  <c r="FB27" i="2"/>
  <c r="FF27" i="2"/>
  <c r="FJ27" i="2"/>
  <c r="FN27" i="2"/>
  <c r="FR27" i="2"/>
  <c r="FV27" i="2"/>
  <c r="FZ27" i="2"/>
  <c r="GD27" i="2"/>
  <c r="GH27" i="2"/>
  <c r="GL27" i="2"/>
  <c r="GP27" i="2"/>
  <c r="GT27" i="2"/>
  <c r="GX27" i="2"/>
  <c r="HB27" i="2"/>
  <c r="HF27" i="2"/>
  <c r="HJ27" i="2"/>
  <c r="HN27" i="2"/>
  <c r="HR27" i="2"/>
  <c r="HV27" i="2"/>
  <c r="HZ27" i="2"/>
  <c r="ID27" i="2"/>
  <c r="IH27" i="2"/>
  <c r="IL27" i="2"/>
  <c r="IP27" i="2"/>
  <c r="IT27" i="2"/>
  <c r="IX27" i="2"/>
  <c r="JB27" i="2"/>
  <c r="JF27" i="2"/>
  <c r="JJ27" i="2"/>
  <c r="JN27" i="2"/>
  <c r="JR27" i="2"/>
  <c r="JV27" i="2"/>
  <c r="JZ27" i="2"/>
  <c r="DH27" i="2"/>
  <c r="DP27" i="2"/>
  <c r="DX27" i="2"/>
  <c r="EF27" i="2"/>
  <c r="EN27" i="2"/>
  <c r="EV27" i="2"/>
  <c r="FD27" i="2"/>
  <c r="FL27" i="2"/>
  <c r="FT27" i="2"/>
  <c r="GB27" i="2"/>
  <c r="GJ27" i="2"/>
  <c r="GR27" i="2"/>
  <c r="GZ27" i="2"/>
  <c r="HH27" i="2"/>
  <c r="HP27" i="2"/>
  <c r="HX27" i="2"/>
  <c r="IF27" i="2"/>
  <c r="IN27" i="2"/>
  <c r="IV27" i="2"/>
  <c r="JD27" i="2"/>
  <c r="JL27" i="2"/>
  <c r="JT27" i="2"/>
  <c r="KB27" i="2"/>
  <c r="DK27" i="2"/>
  <c r="DS27" i="2"/>
  <c r="EA27" i="2"/>
  <c r="EI27" i="2"/>
  <c r="EQ27" i="2"/>
  <c r="EY27" i="2"/>
  <c r="FG27" i="2"/>
  <c r="FO27" i="2"/>
  <c r="FW27" i="2"/>
  <c r="GE27" i="2"/>
  <c r="GM27" i="2"/>
  <c r="GU27" i="2"/>
  <c r="HC27" i="2"/>
  <c r="HK27" i="2"/>
  <c r="HS27" i="2"/>
  <c r="IA27" i="2"/>
  <c r="II27" i="2"/>
  <c r="IQ27" i="2"/>
  <c r="IY27" i="2"/>
  <c r="JG27" i="2"/>
  <c r="JO27" i="2"/>
  <c r="JW27" i="2"/>
  <c r="DL27" i="2"/>
  <c r="DT27" i="2"/>
  <c r="EB27" i="2"/>
  <c r="EJ27" i="2"/>
  <c r="ER27" i="2"/>
  <c r="EZ27" i="2"/>
  <c r="FH27" i="2"/>
  <c r="FP27" i="2"/>
  <c r="FX27" i="2"/>
  <c r="GF27" i="2"/>
  <c r="GN27" i="2"/>
  <c r="GV27" i="2"/>
  <c r="HD27" i="2"/>
  <c r="HL27" i="2"/>
  <c r="HT27" i="2"/>
  <c r="IB27" i="2"/>
  <c r="IJ27" i="2"/>
  <c r="IR27" i="2"/>
  <c r="IZ27" i="2"/>
  <c r="JH27" i="2"/>
  <c r="JP27" i="2"/>
  <c r="JX27" i="2"/>
  <c r="DG27" i="2"/>
  <c r="EM27" i="2"/>
  <c r="FS27" i="2"/>
  <c r="GY27" i="2"/>
  <c r="IE27" i="2"/>
  <c r="JK27" i="2"/>
  <c r="DO27" i="2"/>
  <c r="EU27" i="2"/>
  <c r="GA27" i="2"/>
  <c r="HG27" i="2"/>
  <c r="IM27" i="2"/>
  <c r="JS27" i="2"/>
  <c r="DW27" i="2"/>
  <c r="FC27" i="2"/>
  <c r="GI27" i="2"/>
  <c r="HO27" i="2"/>
  <c r="IU27" i="2"/>
  <c r="KA27" i="2"/>
  <c r="FK27" i="2"/>
  <c r="GQ27" i="2"/>
  <c r="HW27" i="2"/>
  <c r="M27" i="2"/>
  <c r="Q27" i="2"/>
  <c r="U27" i="2"/>
  <c r="Y27" i="2"/>
  <c r="AC27" i="2"/>
  <c r="AG27" i="2"/>
  <c r="AK27" i="2"/>
  <c r="AO27" i="2"/>
  <c r="AS27" i="2"/>
  <c r="AW27" i="2"/>
  <c r="BA27" i="2"/>
  <c r="BE27" i="2"/>
  <c r="BI27" i="2"/>
  <c r="BM27" i="2"/>
  <c r="BQ27" i="2"/>
  <c r="BU27" i="2"/>
  <c r="BY27" i="2"/>
  <c r="CC27" i="2"/>
  <c r="CG27" i="2"/>
  <c r="CK27" i="2"/>
  <c r="CO27" i="2"/>
  <c r="CS27" i="2"/>
  <c r="CW27" i="2"/>
  <c r="DA27" i="2"/>
  <c r="DE27" i="2"/>
  <c r="EE27" i="2"/>
  <c r="N27" i="2"/>
  <c r="R27" i="2"/>
  <c r="V27" i="2"/>
  <c r="Z27" i="2"/>
  <c r="AD27" i="2"/>
  <c r="AH27" i="2"/>
  <c r="AL27" i="2"/>
  <c r="AP27" i="2"/>
  <c r="AT27" i="2"/>
  <c r="AX27" i="2"/>
  <c r="BB27" i="2"/>
  <c r="BF27" i="2"/>
  <c r="BJ27" i="2"/>
  <c r="BN27" i="2"/>
  <c r="BR27" i="2"/>
  <c r="BV27" i="2"/>
  <c r="BZ27" i="2"/>
  <c r="CD27" i="2"/>
  <c r="CH27" i="2"/>
  <c r="CL27" i="2"/>
  <c r="CP27" i="2"/>
  <c r="CT27" i="2"/>
  <c r="CX27" i="2"/>
  <c r="DB27" i="2"/>
  <c r="JC27" i="2"/>
  <c r="K27" i="2"/>
  <c r="O27" i="2"/>
  <c r="S27" i="2"/>
  <c r="W27" i="2"/>
  <c r="AA27" i="2"/>
  <c r="AE27" i="2"/>
  <c r="AI27" i="2"/>
  <c r="AM27" i="2"/>
  <c r="AQ27" i="2"/>
  <c r="AU27" i="2"/>
  <c r="AY27" i="2"/>
  <c r="BC27" i="2"/>
  <c r="BG27" i="2"/>
  <c r="BK27" i="2"/>
  <c r="BO27" i="2"/>
  <c r="BS27" i="2"/>
  <c r="BW27" i="2"/>
  <c r="CA27" i="2"/>
  <c r="CE27" i="2"/>
  <c r="CI27" i="2"/>
  <c r="CM27" i="2"/>
  <c r="CQ27" i="2"/>
  <c r="CU27" i="2"/>
  <c r="CY27" i="2"/>
  <c r="DC27" i="2"/>
  <c r="J27" i="2"/>
  <c r="L27" i="2"/>
  <c r="P27" i="2"/>
  <c r="T27" i="2"/>
  <c r="X27" i="2"/>
  <c r="AB27" i="2"/>
  <c r="AF27" i="2"/>
  <c r="AJ27" i="2"/>
  <c r="AN27" i="2"/>
  <c r="AR27" i="2"/>
  <c r="AV27" i="2"/>
  <c r="AZ27" i="2"/>
  <c r="BD27" i="2"/>
  <c r="BH27" i="2"/>
  <c r="BL27" i="2"/>
  <c r="BP27" i="2"/>
  <c r="BT27" i="2"/>
  <c r="BX27" i="2"/>
  <c r="CB27" i="2"/>
  <c r="CF27" i="2"/>
  <c r="CJ27" i="2"/>
  <c r="CN27" i="2"/>
  <c r="CR27" i="2"/>
  <c r="CV27" i="2"/>
  <c r="CZ27" i="2"/>
  <c r="DD27" i="2"/>
  <c r="DI30" i="2"/>
  <c r="DM30" i="2"/>
  <c r="DQ30" i="2"/>
  <c r="DU30" i="2"/>
  <c r="DY30" i="2"/>
  <c r="EC30" i="2"/>
  <c r="EG30" i="2"/>
  <c r="EK30" i="2"/>
  <c r="EO30" i="2"/>
  <c r="ES30" i="2"/>
  <c r="EW30" i="2"/>
  <c r="FA30" i="2"/>
  <c r="FE30" i="2"/>
  <c r="FI30" i="2"/>
  <c r="FM30" i="2"/>
  <c r="FQ30" i="2"/>
  <c r="FU30" i="2"/>
  <c r="FY30" i="2"/>
  <c r="GC30" i="2"/>
  <c r="GG30" i="2"/>
  <c r="GK30" i="2"/>
  <c r="GO30" i="2"/>
  <c r="GS30" i="2"/>
  <c r="GW30" i="2"/>
  <c r="HA30" i="2"/>
  <c r="HE30" i="2"/>
  <c r="HI30" i="2"/>
  <c r="HM30" i="2"/>
  <c r="HQ30" i="2"/>
  <c r="HU30" i="2"/>
  <c r="HY30" i="2"/>
  <c r="IC30" i="2"/>
  <c r="IG30" i="2"/>
  <c r="IK30" i="2"/>
  <c r="IO30" i="2"/>
  <c r="IS30" i="2"/>
  <c r="IW30" i="2"/>
  <c r="JA30" i="2"/>
  <c r="JE30" i="2"/>
  <c r="DF30" i="2"/>
  <c r="DJ30" i="2"/>
  <c r="DN30" i="2"/>
  <c r="DR30" i="2"/>
  <c r="DV30" i="2"/>
  <c r="DZ30" i="2"/>
  <c r="ED30" i="2"/>
  <c r="EH30" i="2"/>
  <c r="EL30" i="2"/>
  <c r="EP30" i="2"/>
  <c r="ET30" i="2"/>
  <c r="EX30" i="2"/>
  <c r="FB30" i="2"/>
  <c r="FF30" i="2"/>
  <c r="FJ30" i="2"/>
  <c r="FN30" i="2"/>
  <c r="FR30" i="2"/>
  <c r="FV30" i="2"/>
  <c r="FZ30" i="2"/>
  <c r="GD30" i="2"/>
  <c r="GH30" i="2"/>
  <c r="GL30" i="2"/>
  <c r="GP30" i="2"/>
  <c r="GT30" i="2"/>
  <c r="GX30" i="2"/>
  <c r="HB30" i="2"/>
  <c r="HF30" i="2"/>
  <c r="HJ30" i="2"/>
  <c r="HN30" i="2"/>
  <c r="HR30" i="2"/>
  <c r="HV30" i="2"/>
  <c r="HZ30" i="2"/>
  <c r="ID30" i="2"/>
  <c r="IH30" i="2"/>
  <c r="IL30" i="2"/>
  <c r="IP30" i="2"/>
  <c r="IT30" i="2"/>
  <c r="IX30" i="2"/>
  <c r="JB30" i="2"/>
  <c r="JF30" i="2"/>
  <c r="JJ30" i="2"/>
  <c r="JN30" i="2"/>
  <c r="JR30" i="2"/>
  <c r="JV30" i="2"/>
  <c r="JZ30" i="2"/>
  <c r="DG30" i="2"/>
  <c r="DO30" i="2"/>
  <c r="DW30" i="2"/>
  <c r="EE30" i="2"/>
  <c r="EM30" i="2"/>
  <c r="EU30" i="2"/>
  <c r="FC30" i="2"/>
  <c r="FK30" i="2"/>
  <c r="FS30" i="2"/>
  <c r="GA30" i="2"/>
  <c r="GI30" i="2"/>
  <c r="GQ30" i="2"/>
  <c r="GY30" i="2"/>
  <c r="HG30" i="2"/>
  <c r="HO30" i="2"/>
  <c r="HW30" i="2"/>
  <c r="IE30" i="2"/>
  <c r="IM30" i="2"/>
  <c r="IU30" i="2"/>
  <c r="JC30" i="2"/>
  <c r="JI30" i="2"/>
  <c r="JO30" i="2"/>
  <c r="JT30" i="2"/>
  <c r="JY30" i="2"/>
  <c r="DH30" i="2"/>
  <c r="DP30" i="2"/>
  <c r="DX30" i="2"/>
  <c r="EF30" i="2"/>
  <c r="EN30" i="2"/>
  <c r="EV30" i="2"/>
  <c r="FD30" i="2"/>
  <c r="FL30" i="2"/>
  <c r="FT30" i="2"/>
  <c r="GB30" i="2"/>
  <c r="GJ30" i="2"/>
  <c r="GR30" i="2"/>
  <c r="GZ30" i="2"/>
  <c r="HH30" i="2"/>
  <c r="HP30" i="2"/>
  <c r="HX30" i="2"/>
  <c r="IF30" i="2"/>
  <c r="IN30" i="2"/>
  <c r="IV30" i="2"/>
  <c r="JD30" i="2"/>
  <c r="JK30" i="2"/>
  <c r="JP30" i="2"/>
  <c r="JU30" i="2"/>
  <c r="KA30" i="2"/>
  <c r="DK30" i="2"/>
  <c r="DS30" i="2"/>
  <c r="EA30" i="2"/>
  <c r="EI30" i="2"/>
  <c r="EQ30" i="2"/>
  <c r="EY30" i="2"/>
  <c r="FG30" i="2"/>
  <c r="FO30" i="2"/>
  <c r="FW30" i="2"/>
  <c r="GE30" i="2"/>
  <c r="GM30" i="2"/>
  <c r="GU30" i="2"/>
  <c r="HC30" i="2"/>
  <c r="HK30" i="2"/>
  <c r="HS30" i="2"/>
  <c r="IA30" i="2"/>
  <c r="II30" i="2"/>
  <c r="IQ30" i="2"/>
  <c r="IY30" i="2"/>
  <c r="JG30" i="2"/>
  <c r="JL30" i="2"/>
  <c r="JQ30" i="2"/>
  <c r="JW30" i="2"/>
  <c r="KB30" i="2"/>
  <c r="DL30" i="2"/>
  <c r="ER30" i="2"/>
  <c r="FX30" i="2"/>
  <c r="HD30" i="2"/>
  <c r="IJ30" i="2"/>
  <c r="JM30" i="2"/>
  <c r="DT30" i="2"/>
  <c r="EZ30" i="2"/>
  <c r="GF30" i="2"/>
  <c r="HL30" i="2"/>
  <c r="IR30" i="2"/>
  <c r="JS30" i="2"/>
  <c r="EB30" i="2"/>
  <c r="FH30" i="2"/>
  <c r="GN30" i="2"/>
  <c r="HT30" i="2"/>
  <c r="IZ30" i="2"/>
  <c r="JX30" i="2"/>
  <c r="EJ30" i="2"/>
  <c r="JH30" i="2"/>
  <c r="FP30" i="2"/>
  <c r="KC30" i="2"/>
  <c r="GV30" i="2"/>
  <c r="K30" i="2"/>
  <c r="O30" i="2"/>
  <c r="S30" i="2"/>
  <c r="W30" i="2"/>
  <c r="AA30" i="2"/>
  <c r="AE30" i="2"/>
  <c r="AI30" i="2"/>
  <c r="AM30" i="2"/>
  <c r="AQ30" i="2"/>
  <c r="AU30" i="2"/>
  <c r="AY30" i="2"/>
  <c r="BC30" i="2"/>
  <c r="BG30" i="2"/>
  <c r="BK30" i="2"/>
  <c r="BO30" i="2"/>
  <c r="BS30" i="2"/>
  <c r="BW30" i="2"/>
  <c r="CA30" i="2"/>
  <c r="CE30" i="2"/>
  <c r="CI30" i="2"/>
  <c r="CM30" i="2"/>
  <c r="CQ30" i="2"/>
  <c r="CU30" i="2"/>
  <c r="CY30" i="2"/>
  <c r="DC30" i="2"/>
  <c r="IB30" i="2"/>
  <c r="DH26" i="2"/>
  <c r="DL26" i="2"/>
  <c r="DP26" i="2"/>
  <c r="DT26" i="2"/>
  <c r="DX26" i="2"/>
  <c r="EB26" i="2"/>
  <c r="EF26" i="2"/>
  <c r="EJ26" i="2"/>
  <c r="EN26" i="2"/>
  <c r="ER26" i="2"/>
  <c r="EV26" i="2"/>
  <c r="EZ26" i="2"/>
  <c r="FD26" i="2"/>
  <c r="FH26" i="2"/>
  <c r="FL26" i="2"/>
  <c r="FP26" i="2"/>
  <c r="FT26" i="2"/>
  <c r="FX26" i="2"/>
  <c r="GB26" i="2"/>
  <c r="GF26" i="2"/>
  <c r="GJ26" i="2"/>
  <c r="GN26" i="2"/>
  <c r="GR26" i="2"/>
  <c r="GV26" i="2"/>
  <c r="GZ26" i="2"/>
  <c r="DI26" i="2"/>
  <c r="DM26" i="2"/>
  <c r="DQ26" i="2"/>
  <c r="DU26" i="2"/>
  <c r="DY26" i="2"/>
  <c r="EC26" i="2"/>
  <c r="EG26" i="2"/>
  <c r="EK26" i="2"/>
  <c r="EO26" i="2"/>
  <c r="ES26" i="2"/>
  <c r="EW26" i="2"/>
  <c r="FA26" i="2"/>
  <c r="FE26" i="2"/>
  <c r="FI26" i="2"/>
  <c r="FM26" i="2"/>
  <c r="FQ26" i="2"/>
  <c r="FU26" i="2"/>
  <c r="FY26" i="2"/>
  <c r="GC26" i="2"/>
  <c r="GG26" i="2"/>
  <c r="GK26" i="2"/>
  <c r="GO26" i="2"/>
  <c r="GS26" i="2"/>
  <c r="GW26" i="2"/>
  <c r="HA26" i="2"/>
  <c r="HE26" i="2"/>
  <c r="HI26" i="2"/>
  <c r="HM26" i="2"/>
  <c r="HQ26" i="2"/>
  <c r="HU26" i="2"/>
  <c r="HY26" i="2"/>
  <c r="IC26" i="2"/>
  <c r="IG26" i="2"/>
  <c r="IK26" i="2"/>
  <c r="IO26" i="2"/>
  <c r="IS26" i="2"/>
  <c r="IW26" i="2"/>
  <c r="JA26" i="2"/>
  <c r="JE26" i="2"/>
  <c r="JI26" i="2"/>
  <c r="JM26" i="2"/>
  <c r="JQ26" i="2"/>
  <c r="JU26" i="2"/>
  <c r="JY26" i="2"/>
  <c r="KC26" i="2"/>
  <c r="DF26" i="2"/>
  <c r="DJ26" i="2"/>
  <c r="DN26" i="2"/>
  <c r="DR26" i="2"/>
  <c r="DV26" i="2"/>
  <c r="DZ26" i="2"/>
  <c r="ED26" i="2"/>
  <c r="EH26" i="2"/>
  <c r="EL26" i="2"/>
  <c r="EP26" i="2"/>
  <c r="ET26" i="2"/>
  <c r="EX26" i="2"/>
  <c r="FB26" i="2"/>
  <c r="FF26" i="2"/>
  <c r="FJ26" i="2"/>
  <c r="FN26" i="2"/>
  <c r="FR26" i="2"/>
  <c r="FV26" i="2"/>
  <c r="FZ26" i="2"/>
  <c r="GD26" i="2"/>
  <c r="GH26" i="2"/>
  <c r="GL26" i="2"/>
  <c r="GP26" i="2"/>
  <c r="GT26" i="2"/>
  <c r="GX26" i="2"/>
  <c r="HB26" i="2"/>
  <c r="HF26" i="2"/>
  <c r="HJ26" i="2"/>
  <c r="HN26" i="2"/>
  <c r="HR26" i="2"/>
  <c r="HV26" i="2"/>
  <c r="HZ26" i="2"/>
  <c r="ID26" i="2"/>
  <c r="IH26" i="2"/>
  <c r="IL26" i="2"/>
  <c r="IP26" i="2"/>
  <c r="IT26" i="2"/>
  <c r="IX26" i="2"/>
  <c r="JB26" i="2"/>
  <c r="JF26" i="2"/>
  <c r="JJ26" i="2"/>
  <c r="JN26" i="2"/>
  <c r="JR26" i="2"/>
  <c r="JV26" i="2"/>
  <c r="JZ26" i="2"/>
  <c r="DO26" i="2"/>
  <c r="EE26" i="2"/>
  <c r="EU26" i="2"/>
  <c r="FK26" i="2"/>
  <c r="GA26" i="2"/>
  <c r="GQ26" i="2"/>
  <c r="HD26" i="2"/>
  <c r="HL26" i="2"/>
  <c r="HT26" i="2"/>
  <c r="IB26" i="2"/>
  <c r="IJ26" i="2"/>
  <c r="IR26" i="2"/>
  <c r="IZ26" i="2"/>
  <c r="JH26" i="2"/>
  <c r="JP26" i="2"/>
  <c r="JX26" i="2"/>
  <c r="DS26" i="2"/>
  <c r="EI26" i="2"/>
  <c r="EY26" i="2"/>
  <c r="FO26" i="2"/>
  <c r="GE26" i="2"/>
  <c r="GU26" i="2"/>
  <c r="HG26" i="2"/>
  <c r="HO26" i="2"/>
  <c r="HW26" i="2"/>
  <c r="IE26" i="2"/>
  <c r="IM26" i="2"/>
  <c r="IU26" i="2"/>
  <c r="JC26" i="2"/>
  <c r="JK26" i="2"/>
  <c r="JS26" i="2"/>
  <c r="KA26" i="2"/>
  <c r="DG26" i="2"/>
  <c r="DW26" i="2"/>
  <c r="EM26" i="2"/>
  <c r="FC26" i="2"/>
  <c r="FS26" i="2"/>
  <c r="GI26" i="2"/>
  <c r="GY26" i="2"/>
  <c r="HH26" i="2"/>
  <c r="HP26" i="2"/>
  <c r="HX26" i="2"/>
  <c r="IF26" i="2"/>
  <c r="IN26" i="2"/>
  <c r="IV26" i="2"/>
  <c r="JD26" i="2"/>
  <c r="JL26" i="2"/>
  <c r="JT26" i="2"/>
  <c r="KB26" i="2"/>
  <c r="DK26" i="2"/>
  <c r="FW26" i="2"/>
  <c r="HS26" i="2"/>
  <c r="IY26" i="2"/>
  <c r="EA26" i="2"/>
  <c r="GM26" i="2"/>
  <c r="IA26" i="2"/>
  <c r="JG26" i="2"/>
  <c r="EQ26" i="2"/>
  <c r="HC26" i="2"/>
  <c r="II26" i="2"/>
  <c r="JO26" i="2"/>
  <c r="HK26" i="2"/>
  <c r="IQ26" i="2"/>
  <c r="JW26" i="2"/>
  <c r="K26" i="2"/>
  <c r="O26" i="2"/>
  <c r="S26" i="2"/>
  <c r="W26" i="2"/>
  <c r="W23" i="2"/>
  <c r="W24" i="2"/>
  <c r="W25" i="2"/>
  <c r="W29" i="2"/>
  <c r="AA26" i="2"/>
  <c r="FG26" i="2"/>
  <c r="L26" i="2"/>
  <c r="Q26" i="2"/>
  <c r="V26" i="2"/>
  <c r="AB26" i="2"/>
  <c r="AF26" i="2"/>
  <c r="AJ26" i="2"/>
  <c r="AN26" i="2"/>
  <c r="AR26" i="2"/>
  <c r="AV26" i="2"/>
  <c r="AZ26" i="2"/>
  <c r="BD26" i="2"/>
  <c r="BH26" i="2"/>
  <c r="BL26" i="2"/>
  <c r="BP26" i="2"/>
  <c r="BT26" i="2"/>
  <c r="BX26" i="2"/>
  <c r="CB26" i="2"/>
  <c r="CF26" i="2"/>
  <c r="CJ26" i="2"/>
  <c r="CN26" i="2"/>
  <c r="CR26" i="2"/>
  <c r="CV26" i="2"/>
  <c r="CZ26" i="2"/>
  <c r="DD26" i="2"/>
  <c r="M26" i="2"/>
  <c r="R26" i="2"/>
  <c r="X26" i="2"/>
  <c r="AC26" i="2"/>
  <c r="AG26" i="2"/>
  <c r="AK26" i="2"/>
  <c r="AO26" i="2"/>
  <c r="AS26" i="2"/>
  <c r="AW26" i="2"/>
  <c r="BA26" i="2"/>
  <c r="BE26" i="2"/>
  <c r="BI26" i="2"/>
  <c r="BM26" i="2"/>
  <c r="BQ26" i="2"/>
  <c r="BU26" i="2"/>
  <c r="BY26" i="2"/>
  <c r="CC26" i="2"/>
  <c r="CG26" i="2"/>
  <c r="CK26" i="2"/>
  <c r="CO26" i="2"/>
  <c r="CS26" i="2"/>
  <c r="CW26" i="2"/>
  <c r="DA26" i="2"/>
  <c r="DE26" i="2"/>
  <c r="N26" i="2"/>
  <c r="T26" i="2"/>
  <c r="Y26" i="2"/>
  <c r="AD26" i="2"/>
  <c r="AH26" i="2"/>
  <c r="AL26" i="2"/>
  <c r="AP26" i="2"/>
  <c r="AT26" i="2"/>
  <c r="AX26" i="2"/>
  <c r="BB26" i="2"/>
  <c r="BF26" i="2"/>
  <c r="BJ26" i="2"/>
  <c r="BN26" i="2"/>
  <c r="BR26" i="2"/>
  <c r="BV26" i="2"/>
  <c r="BZ26" i="2"/>
  <c r="CD26" i="2"/>
  <c r="CH26" i="2"/>
  <c r="CL26" i="2"/>
  <c r="CP26" i="2"/>
  <c r="CT26" i="2"/>
  <c r="CX26" i="2"/>
  <c r="DB26" i="2"/>
  <c r="P26" i="2"/>
  <c r="U26" i="2"/>
  <c r="Z26" i="2"/>
  <c r="AE26" i="2"/>
  <c r="AI26" i="2"/>
  <c r="AM26" i="2"/>
  <c r="AQ26" i="2"/>
  <c r="AU26" i="2"/>
  <c r="AY26" i="2"/>
  <c r="BC26" i="2"/>
  <c r="BG26" i="2"/>
  <c r="BK26" i="2"/>
  <c r="BO26" i="2"/>
  <c r="BS26" i="2"/>
  <c r="BW26" i="2"/>
  <c r="CA26" i="2"/>
  <c r="CE26" i="2"/>
  <c r="CI26" i="2"/>
  <c r="CM26" i="2"/>
  <c r="CQ26" i="2"/>
  <c r="CU26" i="2"/>
  <c r="CY26" i="2"/>
  <c r="DC26" i="2"/>
  <c r="F31" i="2"/>
  <c r="F26" i="2"/>
  <c r="DF23" i="2"/>
  <c r="DJ23" i="2"/>
  <c r="DN23" i="2"/>
  <c r="DR23" i="2"/>
  <c r="DV23" i="2"/>
  <c r="DZ23" i="2"/>
  <c r="ED23" i="2"/>
  <c r="EH23" i="2"/>
  <c r="EL23" i="2"/>
  <c r="EP23" i="2"/>
  <c r="ET23" i="2"/>
  <c r="EX23" i="2"/>
  <c r="FB23" i="2"/>
  <c r="FF23" i="2"/>
  <c r="FJ23" i="2"/>
  <c r="FN23" i="2"/>
  <c r="FR23" i="2"/>
  <c r="FV23" i="2"/>
  <c r="FZ23" i="2"/>
  <c r="GD23" i="2"/>
  <c r="GH23" i="2"/>
  <c r="GL23" i="2"/>
  <c r="GP23" i="2"/>
  <c r="GT23" i="2"/>
  <c r="GX23" i="2"/>
  <c r="HB23" i="2"/>
  <c r="HF23" i="2"/>
  <c r="HJ23" i="2"/>
  <c r="HN23" i="2"/>
  <c r="HR23" i="2"/>
  <c r="HV23" i="2"/>
  <c r="HZ23" i="2"/>
  <c r="ID23" i="2"/>
  <c r="IH23" i="2"/>
  <c r="IL23" i="2"/>
  <c r="IP23" i="2"/>
  <c r="IT23" i="2"/>
  <c r="IX23" i="2"/>
  <c r="JB23" i="2"/>
  <c r="JF23" i="2"/>
  <c r="JJ23" i="2"/>
  <c r="JN23" i="2"/>
  <c r="JR23" i="2"/>
  <c r="JV23" i="2"/>
  <c r="JZ23" i="2"/>
  <c r="DG23" i="2"/>
  <c r="DK23" i="2"/>
  <c r="DO23" i="2"/>
  <c r="DS23" i="2"/>
  <c r="DW23" i="2"/>
  <c r="EA23" i="2"/>
  <c r="EE23" i="2"/>
  <c r="EI23" i="2"/>
  <c r="EM23" i="2"/>
  <c r="EQ23" i="2"/>
  <c r="EU23" i="2"/>
  <c r="EY23" i="2"/>
  <c r="FC23" i="2"/>
  <c r="FG23" i="2"/>
  <c r="FK23" i="2"/>
  <c r="FO23" i="2"/>
  <c r="FS23" i="2"/>
  <c r="FW23" i="2"/>
  <c r="GA23" i="2"/>
  <c r="GE23" i="2"/>
  <c r="GI23" i="2"/>
  <c r="GM23" i="2"/>
  <c r="GQ23" i="2"/>
  <c r="GU23" i="2"/>
  <c r="GY23" i="2"/>
  <c r="HC23" i="2"/>
  <c r="HG23" i="2"/>
  <c r="HK23" i="2"/>
  <c r="HO23" i="2"/>
  <c r="HS23" i="2"/>
  <c r="HW23" i="2"/>
  <c r="IA23" i="2"/>
  <c r="IE23" i="2"/>
  <c r="II23" i="2"/>
  <c r="IM23" i="2"/>
  <c r="IQ23" i="2"/>
  <c r="IU23" i="2"/>
  <c r="IY23" i="2"/>
  <c r="JC23" i="2"/>
  <c r="JG23" i="2"/>
  <c r="JK23" i="2"/>
  <c r="JO23" i="2"/>
  <c r="JS23" i="2"/>
  <c r="JW23" i="2"/>
  <c r="KA23" i="2"/>
  <c r="DI23" i="2"/>
  <c r="DQ23" i="2"/>
  <c r="DY23" i="2"/>
  <c r="EG23" i="2"/>
  <c r="EO23" i="2"/>
  <c r="EW23" i="2"/>
  <c r="FE23" i="2"/>
  <c r="FM23" i="2"/>
  <c r="FU23" i="2"/>
  <c r="GC23" i="2"/>
  <c r="GK23" i="2"/>
  <c r="GS23" i="2"/>
  <c r="HA23" i="2"/>
  <c r="HI23" i="2"/>
  <c r="HQ23" i="2"/>
  <c r="HY23" i="2"/>
  <c r="IG23" i="2"/>
  <c r="IO23" i="2"/>
  <c r="IW23" i="2"/>
  <c r="JE23" i="2"/>
  <c r="JM23" i="2"/>
  <c r="JU23" i="2"/>
  <c r="KC23" i="2"/>
  <c r="DL23" i="2"/>
  <c r="DT23" i="2"/>
  <c r="EB23" i="2"/>
  <c r="EJ23" i="2"/>
  <c r="ER23" i="2"/>
  <c r="EZ23" i="2"/>
  <c r="FH23" i="2"/>
  <c r="FP23" i="2"/>
  <c r="FX23" i="2"/>
  <c r="GF23" i="2"/>
  <c r="GN23" i="2"/>
  <c r="GV23" i="2"/>
  <c r="HD23" i="2"/>
  <c r="HL23" i="2"/>
  <c r="HT23" i="2"/>
  <c r="IB23" i="2"/>
  <c r="IJ23" i="2"/>
  <c r="IR23" i="2"/>
  <c r="IZ23" i="2"/>
  <c r="JH23" i="2"/>
  <c r="JP23" i="2"/>
  <c r="JX23" i="2"/>
  <c r="DH23" i="2"/>
  <c r="DX23" i="2"/>
  <c r="EN23" i="2"/>
  <c r="FD23" i="2"/>
  <c r="FT23" i="2"/>
  <c r="GJ23" i="2"/>
  <c r="GZ23" i="2"/>
  <c r="HP23" i="2"/>
  <c r="IF23" i="2"/>
  <c r="IV23" i="2"/>
  <c r="JL23" i="2"/>
  <c r="KB23" i="2"/>
  <c r="DM23" i="2"/>
  <c r="EC23" i="2"/>
  <c r="ES23" i="2"/>
  <c r="FI23" i="2"/>
  <c r="FY23" i="2"/>
  <c r="GO23" i="2"/>
  <c r="HE23" i="2"/>
  <c r="HU23" i="2"/>
  <c r="IK23" i="2"/>
  <c r="JA23" i="2"/>
  <c r="JQ23" i="2"/>
  <c r="JQ36" i="2"/>
  <c r="JQ37" i="2"/>
  <c r="JQ24" i="2"/>
  <c r="JQ25" i="2"/>
  <c r="JQ28" i="2"/>
  <c r="JQ29" i="2"/>
  <c r="JQ32" i="2"/>
  <c r="DP23" i="2"/>
  <c r="EF23" i="2"/>
  <c r="EV23" i="2"/>
  <c r="FL23" i="2"/>
  <c r="GB23" i="2"/>
  <c r="GR23" i="2"/>
  <c r="HH23" i="2"/>
  <c r="HX23" i="2"/>
  <c r="IN23" i="2"/>
  <c r="JD23" i="2"/>
  <c r="JT23" i="2"/>
  <c r="DU23" i="2"/>
  <c r="GG23" i="2"/>
  <c r="IS23" i="2"/>
  <c r="EK23" i="2"/>
  <c r="GW23" i="2"/>
  <c r="GW24" i="2"/>
  <c r="GW36" i="2"/>
  <c r="GW25" i="2"/>
  <c r="GW28" i="2"/>
  <c r="GW29" i="2"/>
  <c r="GW32" i="2"/>
  <c r="JI23" i="2"/>
  <c r="FA23" i="2"/>
  <c r="HM23" i="2"/>
  <c r="JY23" i="2"/>
  <c r="FQ23" i="2"/>
  <c r="IC23" i="2"/>
  <c r="N23" i="2"/>
  <c r="R23" i="2"/>
  <c r="V23" i="2"/>
  <c r="Z23" i="2"/>
  <c r="AD23" i="2"/>
  <c r="AH23" i="2"/>
  <c r="AL23" i="2"/>
  <c r="AP23" i="2"/>
  <c r="AT23" i="2"/>
  <c r="AX23" i="2"/>
  <c r="BB23" i="2"/>
  <c r="BF23" i="2"/>
  <c r="BJ23" i="2"/>
  <c r="BN23" i="2"/>
  <c r="BR23" i="2"/>
  <c r="BV23" i="2"/>
  <c r="BZ23" i="2"/>
  <c r="CD23" i="2"/>
  <c r="CH23" i="2"/>
  <c r="CL23" i="2"/>
  <c r="CP23" i="2"/>
  <c r="CT23" i="2"/>
  <c r="CX23" i="2"/>
  <c r="DB23" i="2"/>
  <c r="K23" i="2"/>
  <c r="O23" i="2"/>
  <c r="S23" i="2"/>
  <c r="AA23" i="2"/>
  <c r="AE23" i="2"/>
  <c r="AI23" i="2"/>
  <c r="AM23" i="2"/>
  <c r="AQ23" i="2"/>
  <c r="AU23" i="2"/>
  <c r="AU24" i="2"/>
  <c r="AU25" i="2"/>
  <c r="AU29" i="2"/>
  <c r="AU36" i="2"/>
  <c r="AY23" i="2"/>
  <c r="BC23" i="2"/>
  <c r="BG23" i="2"/>
  <c r="BK23" i="2"/>
  <c r="BK24" i="2"/>
  <c r="BK25" i="2"/>
  <c r="BK29" i="2"/>
  <c r="BK36" i="2"/>
  <c r="BO23" i="2"/>
  <c r="BS23" i="2"/>
  <c r="BW23" i="2"/>
  <c r="CA23" i="2"/>
  <c r="CA24" i="2"/>
  <c r="CA25" i="2"/>
  <c r="CA29" i="2"/>
  <c r="CA36" i="2"/>
  <c r="CE23" i="2"/>
  <c r="CI23" i="2"/>
  <c r="CM23" i="2"/>
  <c r="CQ23" i="2"/>
  <c r="CU23" i="2"/>
  <c r="CY23" i="2"/>
  <c r="DC23" i="2"/>
  <c r="L23" i="2"/>
  <c r="L36" i="2"/>
  <c r="L24" i="2"/>
  <c r="L25" i="2"/>
  <c r="L28" i="2"/>
  <c r="L30" i="2"/>
  <c r="P23" i="2"/>
  <c r="T23" i="2"/>
  <c r="X23" i="2"/>
  <c r="AB23" i="2"/>
  <c r="AB24" i="2"/>
  <c r="AB36" i="2"/>
  <c r="AB25" i="2"/>
  <c r="AB30" i="2"/>
  <c r="AF23" i="2"/>
  <c r="AJ23" i="2"/>
  <c r="AN23" i="2"/>
  <c r="AR23" i="2"/>
  <c r="AR24" i="2"/>
  <c r="AR36" i="2"/>
  <c r="AR25" i="2"/>
  <c r="AR30" i="2"/>
  <c r="AV23" i="2"/>
  <c r="AZ23" i="2"/>
  <c r="BD23" i="2"/>
  <c r="BH23" i="2"/>
  <c r="BH24" i="2"/>
  <c r="BH36" i="2"/>
  <c r="BH25" i="2"/>
  <c r="BH30" i="2"/>
  <c r="BL23" i="2"/>
  <c r="BP23" i="2"/>
  <c r="BT23" i="2"/>
  <c r="BX23" i="2"/>
  <c r="BX24" i="2"/>
  <c r="BX36" i="2"/>
  <c r="BX37" i="2"/>
  <c r="BX25" i="2"/>
  <c r="BX30" i="2"/>
  <c r="CB23" i="2"/>
  <c r="CF23" i="2"/>
  <c r="CJ23" i="2"/>
  <c r="CN23" i="2"/>
  <c r="CN24" i="2"/>
  <c r="CN36" i="2"/>
  <c r="CN25" i="2"/>
  <c r="CN30" i="2"/>
  <c r="CR23" i="2"/>
  <c r="CV23" i="2"/>
  <c r="CZ23" i="2"/>
  <c r="DD23" i="2"/>
  <c r="DD24" i="2"/>
  <c r="DD36" i="2"/>
  <c r="DD37" i="2"/>
  <c r="DD25" i="2"/>
  <c r="DD30" i="2"/>
  <c r="Y23" i="2"/>
  <c r="AO23" i="2"/>
  <c r="BE23" i="2"/>
  <c r="BU23" i="2"/>
  <c r="BU24" i="2"/>
  <c r="BU25" i="2"/>
  <c r="BU28" i="2"/>
  <c r="BU29" i="2"/>
  <c r="BU31" i="2"/>
  <c r="BU32" i="2"/>
  <c r="BU36" i="2"/>
  <c r="CK23" i="2"/>
  <c r="DA23" i="2"/>
  <c r="M23" i="2"/>
  <c r="AC23" i="2"/>
  <c r="AS23" i="2"/>
  <c r="BI23" i="2"/>
  <c r="BY23" i="2"/>
  <c r="BY24" i="2"/>
  <c r="BY25" i="2"/>
  <c r="BY28" i="2"/>
  <c r="BY32" i="2"/>
  <c r="CO23" i="2"/>
  <c r="DE23" i="2"/>
  <c r="DE24" i="2"/>
  <c r="DE25" i="2"/>
  <c r="DE28" i="2"/>
  <c r="DE32" i="2"/>
  <c r="Q23" i="2"/>
  <c r="AG23" i="2"/>
  <c r="AW23" i="2"/>
  <c r="AW24" i="2"/>
  <c r="AW25" i="2"/>
  <c r="AW28" i="2"/>
  <c r="AW30" i="2"/>
  <c r="AW32" i="2"/>
  <c r="AX25" i="2"/>
  <c r="AX29" i="2"/>
  <c r="BM23" i="2"/>
  <c r="CC23" i="2"/>
  <c r="CS23" i="2"/>
  <c r="U23" i="2"/>
  <c r="AK23" i="2"/>
  <c r="BA23" i="2"/>
  <c r="BQ23" i="2"/>
  <c r="CG23" i="2"/>
  <c r="CW23" i="2"/>
  <c r="DI29" i="2"/>
  <c r="DM29" i="2"/>
  <c r="DQ29" i="2"/>
  <c r="DU29" i="2"/>
  <c r="DY29" i="2"/>
  <c r="EC29" i="2"/>
  <c r="EG29" i="2"/>
  <c r="EK29" i="2"/>
  <c r="EO29" i="2"/>
  <c r="ES29" i="2"/>
  <c r="EW29" i="2"/>
  <c r="FA29" i="2"/>
  <c r="FE29" i="2"/>
  <c r="FI29" i="2"/>
  <c r="FM29" i="2"/>
  <c r="FQ29" i="2"/>
  <c r="FU29" i="2"/>
  <c r="FY29" i="2"/>
  <c r="GC29" i="2"/>
  <c r="GG29" i="2"/>
  <c r="GK29" i="2"/>
  <c r="GO29" i="2"/>
  <c r="GS29" i="2"/>
  <c r="HA29" i="2"/>
  <c r="HE29" i="2"/>
  <c r="HI29" i="2"/>
  <c r="HM29" i="2"/>
  <c r="HQ29" i="2"/>
  <c r="HU29" i="2"/>
  <c r="HY29" i="2"/>
  <c r="IC29" i="2"/>
  <c r="IG29" i="2"/>
  <c r="IK29" i="2"/>
  <c r="IO29" i="2"/>
  <c r="IS29" i="2"/>
  <c r="IW29" i="2"/>
  <c r="JA29" i="2"/>
  <c r="JE29" i="2"/>
  <c r="JI29" i="2"/>
  <c r="JM29" i="2"/>
  <c r="JU29" i="2"/>
  <c r="JY29" i="2"/>
  <c r="KC29" i="2"/>
  <c r="DF29" i="2"/>
  <c r="DJ29" i="2"/>
  <c r="DN29" i="2"/>
  <c r="DR29" i="2"/>
  <c r="DV29" i="2"/>
  <c r="DZ29" i="2"/>
  <c r="ED29" i="2"/>
  <c r="EH29" i="2"/>
  <c r="EL29" i="2"/>
  <c r="EP29" i="2"/>
  <c r="ET29" i="2"/>
  <c r="EX29" i="2"/>
  <c r="FB29" i="2"/>
  <c r="FF29" i="2"/>
  <c r="FJ29" i="2"/>
  <c r="FN29" i="2"/>
  <c r="FR29" i="2"/>
  <c r="FV29" i="2"/>
  <c r="FZ29" i="2"/>
  <c r="GD29" i="2"/>
  <c r="GH29" i="2"/>
  <c r="GL29" i="2"/>
  <c r="GP29" i="2"/>
  <c r="GT29" i="2"/>
  <c r="GX29" i="2"/>
  <c r="HB29" i="2"/>
  <c r="HF29" i="2"/>
  <c r="HJ29" i="2"/>
  <c r="HN29" i="2"/>
  <c r="HR29" i="2"/>
  <c r="HV29" i="2"/>
  <c r="HZ29" i="2"/>
  <c r="ID29" i="2"/>
  <c r="IH29" i="2"/>
  <c r="IL29" i="2"/>
  <c r="IP29" i="2"/>
  <c r="IT29" i="2"/>
  <c r="IX29" i="2"/>
  <c r="JB29" i="2"/>
  <c r="JF29" i="2"/>
  <c r="JJ29" i="2"/>
  <c r="JN29" i="2"/>
  <c r="JR29" i="2"/>
  <c r="JV29" i="2"/>
  <c r="JZ29" i="2"/>
  <c r="DK29" i="2"/>
  <c r="DS29" i="2"/>
  <c r="EA29" i="2"/>
  <c r="EI29" i="2"/>
  <c r="EQ29" i="2"/>
  <c r="EY29" i="2"/>
  <c r="FG29" i="2"/>
  <c r="FO29" i="2"/>
  <c r="FW29" i="2"/>
  <c r="GE29" i="2"/>
  <c r="GM29" i="2"/>
  <c r="GU29" i="2"/>
  <c r="HC29" i="2"/>
  <c r="HK29" i="2"/>
  <c r="HS29" i="2"/>
  <c r="IA29" i="2"/>
  <c r="II29" i="2"/>
  <c r="IQ29" i="2"/>
  <c r="IY29" i="2"/>
  <c r="JG29" i="2"/>
  <c r="JO29" i="2"/>
  <c r="JW29" i="2"/>
  <c r="DL29" i="2"/>
  <c r="DT29" i="2"/>
  <c r="EB29" i="2"/>
  <c r="EJ29" i="2"/>
  <c r="ER29" i="2"/>
  <c r="EZ29" i="2"/>
  <c r="FH29" i="2"/>
  <c r="FP29" i="2"/>
  <c r="FX29" i="2"/>
  <c r="GF29" i="2"/>
  <c r="GN29" i="2"/>
  <c r="GV29" i="2"/>
  <c r="HD29" i="2"/>
  <c r="HL29" i="2"/>
  <c r="HT29" i="2"/>
  <c r="IB29" i="2"/>
  <c r="IJ29" i="2"/>
  <c r="IR29" i="2"/>
  <c r="IZ29" i="2"/>
  <c r="JH29" i="2"/>
  <c r="JP29" i="2"/>
  <c r="JX29" i="2"/>
  <c r="DG29" i="2"/>
  <c r="DO29" i="2"/>
  <c r="DW29" i="2"/>
  <c r="EE29" i="2"/>
  <c r="EM29" i="2"/>
  <c r="EU29" i="2"/>
  <c r="FC29" i="2"/>
  <c r="FK29" i="2"/>
  <c r="FS29" i="2"/>
  <c r="GA29" i="2"/>
  <c r="GI29" i="2"/>
  <c r="GQ29" i="2"/>
  <c r="GY29" i="2"/>
  <c r="HG29" i="2"/>
  <c r="HO29" i="2"/>
  <c r="HW29" i="2"/>
  <c r="IE29" i="2"/>
  <c r="IM29" i="2"/>
  <c r="IU29" i="2"/>
  <c r="JC29" i="2"/>
  <c r="JK29" i="2"/>
  <c r="JS29" i="2"/>
  <c r="KA29" i="2"/>
  <c r="EF29" i="2"/>
  <c r="FL29" i="2"/>
  <c r="GR29" i="2"/>
  <c r="HX29" i="2"/>
  <c r="JD29" i="2"/>
  <c r="DH29" i="2"/>
  <c r="EN29" i="2"/>
  <c r="FT29" i="2"/>
  <c r="GZ29" i="2"/>
  <c r="IF29" i="2"/>
  <c r="JL29" i="2"/>
  <c r="DP29" i="2"/>
  <c r="EV29" i="2"/>
  <c r="GB29" i="2"/>
  <c r="HH29" i="2"/>
  <c r="IN29" i="2"/>
  <c r="JT29" i="2"/>
  <c r="GJ29" i="2"/>
  <c r="HP29" i="2"/>
  <c r="DX29" i="2"/>
  <c r="IV29" i="2"/>
  <c r="N29" i="2"/>
  <c r="R29" i="2"/>
  <c r="V29" i="2"/>
  <c r="Z29" i="2"/>
  <c r="AD29" i="2"/>
  <c r="AH29" i="2"/>
  <c r="AL29" i="2"/>
  <c r="AP29" i="2"/>
  <c r="AT29" i="2"/>
  <c r="BB29" i="2"/>
  <c r="BF29" i="2"/>
  <c r="BJ29" i="2"/>
  <c r="BN29" i="2"/>
  <c r="BR29" i="2"/>
  <c r="BV29" i="2"/>
  <c r="BZ29" i="2"/>
  <c r="CD29" i="2"/>
  <c r="CH29" i="2"/>
  <c r="CL29" i="2"/>
  <c r="CP29" i="2"/>
  <c r="CT29" i="2"/>
  <c r="CX29" i="2"/>
  <c r="DB29" i="2"/>
  <c r="F29" i="2"/>
  <c r="FD29" i="2"/>
  <c r="KB29" i="2"/>
  <c r="K29" i="2"/>
  <c r="O29" i="2"/>
  <c r="O24" i="2"/>
  <c r="O25" i="2"/>
  <c r="S29" i="2"/>
  <c r="DG25" i="2"/>
  <c r="DK25" i="2"/>
  <c r="DO25" i="2"/>
  <c r="DS25" i="2"/>
  <c r="DW25" i="2"/>
  <c r="EA25" i="2"/>
  <c r="EE25" i="2"/>
  <c r="EI25" i="2"/>
  <c r="EM25" i="2"/>
  <c r="EQ25" i="2"/>
  <c r="EU25" i="2"/>
  <c r="EY25" i="2"/>
  <c r="FC25" i="2"/>
  <c r="FG25" i="2"/>
  <c r="FK25" i="2"/>
  <c r="FO25" i="2"/>
  <c r="FS25" i="2"/>
  <c r="FW25" i="2"/>
  <c r="GA25" i="2"/>
  <c r="GE25" i="2"/>
  <c r="GI25" i="2"/>
  <c r="GM25" i="2"/>
  <c r="GQ25" i="2"/>
  <c r="GU25" i="2"/>
  <c r="GY25" i="2"/>
  <c r="HC25" i="2"/>
  <c r="HG25" i="2"/>
  <c r="HK25" i="2"/>
  <c r="HO25" i="2"/>
  <c r="HS25" i="2"/>
  <c r="HW25" i="2"/>
  <c r="IA25" i="2"/>
  <c r="IE25" i="2"/>
  <c r="II25" i="2"/>
  <c r="IM25" i="2"/>
  <c r="IQ25" i="2"/>
  <c r="IU25" i="2"/>
  <c r="DH25" i="2"/>
  <c r="DL25" i="2"/>
  <c r="DP25" i="2"/>
  <c r="DT25" i="2"/>
  <c r="DX25" i="2"/>
  <c r="EB25" i="2"/>
  <c r="EF25" i="2"/>
  <c r="EJ25" i="2"/>
  <c r="EN25" i="2"/>
  <c r="ER25" i="2"/>
  <c r="EV25" i="2"/>
  <c r="EZ25" i="2"/>
  <c r="FD25" i="2"/>
  <c r="FH25" i="2"/>
  <c r="FL25" i="2"/>
  <c r="FP25" i="2"/>
  <c r="FT25" i="2"/>
  <c r="FX25" i="2"/>
  <c r="GB25" i="2"/>
  <c r="GF25" i="2"/>
  <c r="GJ25" i="2"/>
  <c r="GN25" i="2"/>
  <c r="GR25" i="2"/>
  <c r="GV25" i="2"/>
  <c r="GZ25" i="2"/>
  <c r="HD25" i="2"/>
  <c r="HH25" i="2"/>
  <c r="HL25" i="2"/>
  <c r="HP25" i="2"/>
  <c r="HT25" i="2"/>
  <c r="HX25" i="2"/>
  <c r="IB25" i="2"/>
  <c r="IF25" i="2"/>
  <c r="IJ25" i="2"/>
  <c r="IN25" i="2"/>
  <c r="IR25" i="2"/>
  <c r="IV25" i="2"/>
  <c r="DF25" i="2"/>
  <c r="DN25" i="2"/>
  <c r="DV25" i="2"/>
  <c r="ED25" i="2"/>
  <c r="EL25" i="2"/>
  <c r="ET25" i="2"/>
  <c r="FB25" i="2"/>
  <c r="FJ25" i="2"/>
  <c r="FR25" i="2"/>
  <c r="FZ25" i="2"/>
  <c r="GH25" i="2"/>
  <c r="GP25" i="2"/>
  <c r="GX25" i="2"/>
  <c r="HF25" i="2"/>
  <c r="HN25" i="2"/>
  <c r="HV25" i="2"/>
  <c r="ID25" i="2"/>
  <c r="IL25" i="2"/>
  <c r="IT25" i="2"/>
  <c r="IZ25" i="2"/>
  <c r="JD25" i="2"/>
  <c r="JH25" i="2"/>
  <c r="JL25" i="2"/>
  <c r="JP25" i="2"/>
  <c r="JT25" i="2"/>
  <c r="JX25" i="2"/>
  <c r="KB25" i="2"/>
  <c r="DI25" i="2"/>
  <c r="DQ25" i="2"/>
  <c r="DY25" i="2"/>
  <c r="EG25" i="2"/>
  <c r="EO25" i="2"/>
  <c r="EW25" i="2"/>
  <c r="FE25" i="2"/>
  <c r="FM25" i="2"/>
  <c r="FU25" i="2"/>
  <c r="GC25" i="2"/>
  <c r="GK25" i="2"/>
  <c r="GS25" i="2"/>
  <c r="HA25" i="2"/>
  <c r="HI25" i="2"/>
  <c r="HQ25" i="2"/>
  <c r="HY25" i="2"/>
  <c r="IG25" i="2"/>
  <c r="IO25" i="2"/>
  <c r="IW25" i="2"/>
  <c r="JA25" i="2"/>
  <c r="JE25" i="2"/>
  <c r="JI25" i="2"/>
  <c r="JM25" i="2"/>
  <c r="JU25" i="2"/>
  <c r="JY25" i="2"/>
  <c r="KC25" i="2"/>
  <c r="DJ25" i="2"/>
  <c r="DR25" i="2"/>
  <c r="DZ25" i="2"/>
  <c r="EH25" i="2"/>
  <c r="EP25" i="2"/>
  <c r="EX25" i="2"/>
  <c r="FF25" i="2"/>
  <c r="FN25" i="2"/>
  <c r="FV25" i="2"/>
  <c r="GD25" i="2"/>
  <c r="GL25" i="2"/>
  <c r="GT25" i="2"/>
  <c r="HB25" i="2"/>
  <c r="HJ25" i="2"/>
  <c r="HR25" i="2"/>
  <c r="HZ25" i="2"/>
  <c r="IH25" i="2"/>
  <c r="IP25" i="2"/>
  <c r="IX25" i="2"/>
  <c r="JB25" i="2"/>
  <c r="JF25" i="2"/>
  <c r="JJ25" i="2"/>
  <c r="JN25" i="2"/>
  <c r="JR25" i="2"/>
  <c r="JV25" i="2"/>
  <c r="JZ25" i="2"/>
  <c r="DM25" i="2"/>
  <c r="ES25" i="2"/>
  <c r="FY25" i="2"/>
  <c r="HE25" i="2"/>
  <c r="IK25" i="2"/>
  <c r="JG25" i="2"/>
  <c r="JW25" i="2"/>
  <c r="DU25" i="2"/>
  <c r="FA25" i="2"/>
  <c r="GG25" i="2"/>
  <c r="HM25" i="2"/>
  <c r="IS25" i="2"/>
  <c r="JK25" i="2"/>
  <c r="KA25" i="2"/>
  <c r="EC25" i="2"/>
  <c r="FI25" i="2"/>
  <c r="GO25" i="2"/>
  <c r="HU25" i="2"/>
  <c r="IY25" i="2"/>
  <c r="JO25" i="2"/>
  <c r="IC25" i="2"/>
  <c r="EK25" i="2"/>
  <c r="JC25" i="2"/>
  <c r="FQ25" i="2"/>
  <c r="M25" i="2"/>
  <c r="Q25" i="2"/>
  <c r="JS25" i="2"/>
  <c r="N25" i="2"/>
  <c r="R25" i="2"/>
  <c r="V25" i="2"/>
  <c r="Z25" i="2"/>
  <c r="AD25" i="2"/>
  <c r="AD36" i="2"/>
  <c r="AD24" i="2"/>
  <c r="AD31" i="2"/>
  <c r="AH25" i="2"/>
  <c r="AL25" i="2"/>
  <c r="AP25" i="2"/>
  <c r="AT25" i="2"/>
  <c r="BB25" i="2"/>
  <c r="BF25" i="2"/>
  <c r="BJ25" i="2"/>
  <c r="BN25" i="2"/>
  <c r="BR25" i="2"/>
  <c r="BV25" i="2"/>
  <c r="BZ25" i="2"/>
  <c r="CD25" i="2"/>
  <c r="CH25" i="2"/>
  <c r="CL25" i="2"/>
  <c r="CP25" i="2"/>
  <c r="CP24" i="2"/>
  <c r="CP36" i="2"/>
  <c r="CP31" i="2"/>
  <c r="CT25" i="2"/>
  <c r="CX25" i="2"/>
  <c r="DB25" i="2"/>
  <c r="T25" i="2"/>
  <c r="Y25" i="2"/>
  <c r="AE25" i="2"/>
  <c r="AJ25" i="2"/>
  <c r="AO25" i="2"/>
  <c r="AZ25" i="2"/>
  <c r="BE25" i="2"/>
  <c r="BP25" i="2"/>
  <c r="CF25" i="2"/>
  <c r="CK25" i="2"/>
  <c r="CQ25" i="2"/>
  <c r="CV25" i="2"/>
  <c r="DA25" i="2"/>
  <c r="U25" i="2"/>
  <c r="AA25" i="2"/>
  <c r="AF25" i="2"/>
  <c r="AK25" i="2"/>
  <c r="AQ25" i="2"/>
  <c r="AV25" i="2"/>
  <c r="BA25" i="2"/>
  <c r="BG25" i="2"/>
  <c r="BL25" i="2"/>
  <c r="BL24" i="2"/>
  <c r="BQ25" i="2"/>
  <c r="BW25" i="2"/>
  <c r="CB25" i="2"/>
  <c r="CG25" i="2"/>
  <c r="CM25" i="2"/>
  <c r="CR25" i="2"/>
  <c r="CW25" i="2"/>
  <c r="DC25" i="2"/>
  <c r="P25" i="2"/>
  <c r="P24" i="2"/>
  <c r="AG25" i="2"/>
  <c r="AM25" i="2"/>
  <c r="BC25" i="2"/>
  <c r="BM25" i="2"/>
  <c r="BS25" i="2"/>
  <c r="CC25" i="2"/>
  <c r="CI25" i="2"/>
  <c r="CS25" i="2"/>
  <c r="CY25" i="2"/>
  <c r="F25" i="2"/>
  <c r="K25" i="2"/>
  <c r="K24" i="2"/>
  <c r="K36" i="2"/>
  <c r="K37" i="2"/>
  <c r="S25" i="2"/>
  <c r="X25" i="2"/>
  <c r="AC25" i="2"/>
  <c r="AI25" i="2"/>
  <c r="AN25" i="2"/>
  <c r="AS25" i="2"/>
  <c r="AS24" i="2"/>
  <c r="AS28" i="2"/>
  <c r="AS32" i="2"/>
  <c r="AY25" i="2"/>
  <c r="BD25" i="2"/>
  <c r="BI25" i="2"/>
  <c r="BO25" i="2"/>
  <c r="BT25" i="2"/>
  <c r="CE25" i="2"/>
  <c r="CJ25" i="2"/>
  <c r="CO25" i="2"/>
  <c r="CU25" i="2"/>
  <c r="CZ25" i="2"/>
  <c r="F30" i="2"/>
  <c r="J26" i="2"/>
  <c r="DA31" i="2"/>
  <c r="CU31" i="2"/>
  <c r="CK31" i="2"/>
  <c r="CE31" i="2"/>
  <c r="BZ31" i="2"/>
  <c r="BO31" i="2"/>
  <c r="BJ31" i="2"/>
  <c r="BE31" i="2"/>
  <c r="AY31" i="2"/>
  <c r="AT31" i="2"/>
  <c r="AO31" i="2"/>
  <c r="AI31" i="2"/>
  <c r="Y31" i="2"/>
  <c r="S31" i="2"/>
  <c r="N31" i="2"/>
  <c r="CX30" i="2"/>
  <c r="CS30" i="2"/>
  <c r="CH30" i="2"/>
  <c r="CC30" i="2"/>
  <c r="BR30" i="2"/>
  <c r="BM30" i="2"/>
  <c r="BB30" i="2"/>
  <c r="AL30" i="2"/>
  <c r="AG30" i="2"/>
  <c r="V30" i="2"/>
  <c r="Q30" i="2"/>
  <c r="DA29" i="2"/>
  <c r="CV29" i="2"/>
  <c r="CQ29" i="2"/>
  <c r="CK29" i="2"/>
  <c r="CF29" i="2"/>
  <c r="BP29" i="2"/>
  <c r="BE29" i="2"/>
  <c r="AZ29" i="2"/>
  <c r="AO29" i="2"/>
  <c r="AJ29" i="2"/>
  <c r="AE29" i="2"/>
  <c r="Y29" i="2"/>
  <c r="Q29" i="2"/>
  <c r="DF32" i="2"/>
  <c r="DJ32" i="2"/>
  <c r="DN32" i="2"/>
  <c r="DR32" i="2"/>
  <c r="DV32" i="2"/>
  <c r="DZ32" i="2"/>
  <c r="ED32" i="2"/>
  <c r="EH32" i="2"/>
  <c r="EL32" i="2"/>
  <c r="EP32" i="2"/>
  <c r="ET32" i="2"/>
  <c r="EX32" i="2"/>
  <c r="FB32" i="2"/>
  <c r="FF32" i="2"/>
  <c r="FJ32" i="2"/>
  <c r="FN32" i="2"/>
  <c r="FR32" i="2"/>
  <c r="FV32" i="2"/>
  <c r="FZ32" i="2"/>
  <c r="GD32" i="2"/>
  <c r="GH32" i="2"/>
  <c r="GL32" i="2"/>
  <c r="GP32" i="2"/>
  <c r="GT32" i="2"/>
  <c r="GX32" i="2"/>
  <c r="HB32" i="2"/>
  <c r="HF32" i="2"/>
  <c r="HJ32" i="2"/>
  <c r="HN32" i="2"/>
  <c r="HR32" i="2"/>
  <c r="HV32" i="2"/>
  <c r="HZ32" i="2"/>
  <c r="ID32" i="2"/>
  <c r="IH32" i="2"/>
  <c r="IL32" i="2"/>
  <c r="IP32" i="2"/>
  <c r="IT32" i="2"/>
  <c r="IX32" i="2"/>
  <c r="JB32" i="2"/>
  <c r="JF32" i="2"/>
  <c r="JJ32" i="2"/>
  <c r="JN32" i="2"/>
  <c r="JR32" i="2"/>
  <c r="JV32" i="2"/>
  <c r="JZ32" i="2"/>
  <c r="DG32" i="2"/>
  <c r="DK32" i="2"/>
  <c r="DO32" i="2"/>
  <c r="DS32" i="2"/>
  <c r="DW32" i="2"/>
  <c r="EA32" i="2"/>
  <c r="EE32" i="2"/>
  <c r="EI32" i="2"/>
  <c r="EM32" i="2"/>
  <c r="EQ32" i="2"/>
  <c r="EU32" i="2"/>
  <c r="EY32" i="2"/>
  <c r="FC32" i="2"/>
  <c r="FG32" i="2"/>
  <c r="FK32" i="2"/>
  <c r="FO32" i="2"/>
  <c r="FS32" i="2"/>
  <c r="FW32" i="2"/>
  <c r="GA32" i="2"/>
  <c r="GE32" i="2"/>
  <c r="GI32" i="2"/>
  <c r="GM32" i="2"/>
  <c r="GQ32" i="2"/>
  <c r="GU32" i="2"/>
  <c r="GY32" i="2"/>
  <c r="HC32" i="2"/>
  <c r="HG32" i="2"/>
  <c r="HK32" i="2"/>
  <c r="HO32" i="2"/>
  <c r="HS32" i="2"/>
  <c r="HW32" i="2"/>
  <c r="IA32" i="2"/>
  <c r="IE32" i="2"/>
  <c r="II32" i="2"/>
  <c r="IM32" i="2"/>
  <c r="IQ32" i="2"/>
  <c r="IU32" i="2"/>
  <c r="IY32" i="2"/>
  <c r="JC32" i="2"/>
  <c r="JG32" i="2"/>
  <c r="JK32" i="2"/>
  <c r="JO32" i="2"/>
  <c r="JS32" i="2"/>
  <c r="JW32" i="2"/>
  <c r="KA32" i="2"/>
  <c r="DL32" i="2"/>
  <c r="DT32" i="2"/>
  <c r="EB32" i="2"/>
  <c r="EJ32" i="2"/>
  <c r="ER32" i="2"/>
  <c r="EZ32" i="2"/>
  <c r="FH32" i="2"/>
  <c r="FP32" i="2"/>
  <c r="FX32" i="2"/>
  <c r="GF32" i="2"/>
  <c r="GN32" i="2"/>
  <c r="GV32" i="2"/>
  <c r="HD32" i="2"/>
  <c r="HL32" i="2"/>
  <c r="HT32" i="2"/>
  <c r="IB32" i="2"/>
  <c r="IJ32" i="2"/>
  <c r="IR32" i="2"/>
  <c r="IZ32" i="2"/>
  <c r="JH32" i="2"/>
  <c r="JP32" i="2"/>
  <c r="JX32" i="2"/>
  <c r="DM32" i="2"/>
  <c r="DU32" i="2"/>
  <c r="EC32" i="2"/>
  <c r="EK32" i="2"/>
  <c r="ES32" i="2"/>
  <c r="FA32" i="2"/>
  <c r="FI32" i="2"/>
  <c r="FQ32" i="2"/>
  <c r="FY32" i="2"/>
  <c r="GG32" i="2"/>
  <c r="GO32" i="2"/>
  <c r="HE32" i="2"/>
  <c r="HM32" i="2"/>
  <c r="HU32" i="2"/>
  <c r="IC32" i="2"/>
  <c r="IK32" i="2"/>
  <c r="IS32" i="2"/>
  <c r="JA32" i="2"/>
  <c r="JI32" i="2"/>
  <c r="JY32" i="2"/>
  <c r="DH32" i="2"/>
  <c r="DP32" i="2"/>
  <c r="DX32" i="2"/>
  <c r="EF32" i="2"/>
  <c r="EN32" i="2"/>
  <c r="EV32" i="2"/>
  <c r="FD32" i="2"/>
  <c r="FL32" i="2"/>
  <c r="FT32" i="2"/>
  <c r="GB32" i="2"/>
  <c r="GJ32" i="2"/>
  <c r="GR32" i="2"/>
  <c r="GZ32" i="2"/>
  <c r="HH32" i="2"/>
  <c r="HP32" i="2"/>
  <c r="HX32" i="2"/>
  <c r="IF32" i="2"/>
  <c r="IN32" i="2"/>
  <c r="IV32" i="2"/>
  <c r="JD32" i="2"/>
  <c r="JL32" i="2"/>
  <c r="JT32" i="2"/>
  <c r="KB32" i="2"/>
  <c r="DI28" i="2"/>
  <c r="DM28" i="2"/>
  <c r="DQ28" i="2"/>
  <c r="DU28" i="2"/>
  <c r="DY28" i="2"/>
  <c r="EC28" i="2"/>
  <c r="EG28" i="2"/>
  <c r="EK28" i="2"/>
  <c r="EO28" i="2"/>
  <c r="ES28" i="2"/>
  <c r="EW28" i="2"/>
  <c r="FA28" i="2"/>
  <c r="FE28" i="2"/>
  <c r="DF28" i="2"/>
  <c r="DJ28" i="2"/>
  <c r="DN28" i="2"/>
  <c r="DR28" i="2"/>
  <c r="DV28" i="2"/>
  <c r="DZ28" i="2"/>
  <c r="ED28" i="2"/>
  <c r="EH28" i="2"/>
  <c r="EL28" i="2"/>
  <c r="EP28" i="2"/>
  <c r="ET28" i="2"/>
  <c r="EX28" i="2"/>
  <c r="FB28" i="2"/>
  <c r="FF28" i="2"/>
  <c r="FJ28" i="2"/>
  <c r="FN28" i="2"/>
  <c r="FR28" i="2"/>
  <c r="FV28" i="2"/>
  <c r="FZ28" i="2"/>
  <c r="GD28" i="2"/>
  <c r="GH28" i="2"/>
  <c r="GL28" i="2"/>
  <c r="GP28" i="2"/>
  <c r="GT28" i="2"/>
  <c r="GX28" i="2"/>
  <c r="HB28" i="2"/>
  <c r="HF28" i="2"/>
  <c r="HJ28" i="2"/>
  <c r="HN28" i="2"/>
  <c r="HR28" i="2"/>
  <c r="DL28" i="2"/>
  <c r="DT28" i="2"/>
  <c r="EB28" i="2"/>
  <c r="EJ28" i="2"/>
  <c r="ER28" i="2"/>
  <c r="EZ28" i="2"/>
  <c r="FH28" i="2"/>
  <c r="FM28" i="2"/>
  <c r="FS28" i="2"/>
  <c r="FX28" i="2"/>
  <c r="GC28" i="2"/>
  <c r="GI28" i="2"/>
  <c r="GN28" i="2"/>
  <c r="GS28" i="2"/>
  <c r="GY28" i="2"/>
  <c r="HD28" i="2"/>
  <c r="HI28" i="2"/>
  <c r="DG28" i="2"/>
  <c r="DO28" i="2"/>
  <c r="DW28" i="2"/>
  <c r="EE28" i="2"/>
  <c r="EM28" i="2"/>
  <c r="EU28" i="2"/>
  <c r="FC28" i="2"/>
  <c r="FI28" i="2"/>
  <c r="FO28" i="2"/>
  <c r="FT28" i="2"/>
  <c r="FY28" i="2"/>
  <c r="GE28" i="2"/>
  <c r="GJ28" i="2"/>
  <c r="GO28" i="2"/>
  <c r="GU28" i="2"/>
  <c r="GZ28" i="2"/>
  <c r="HE28" i="2"/>
  <c r="HK28" i="2"/>
  <c r="HP28" i="2"/>
  <c r="HU28" i="2"/>
  <c r="HY28" i="2"/>
  <c r="IC28" i="2"/>
  <c r="IG28" i="2"/>
  <c r="IK28" i="2"/>
  <c r="IO28" i="2"/>
  <c r="IS28" i="2"/>
  <c r="IW28" i="2"/>
  <c r="JA28" i="2"/>
  <c r="JE28" i="2"/>
  <c r="JI28" i="2"/>
  <c r="JM28" i="2"/>
  <c r="JU28" i="2"/>
  <c r="JY28" i="2"/>
  <c r="KC28" i="2"/>
  <c r="DH28" i="2"/>
  <c r="DP28" i="2"/>
  <c r="DX28" i="2"/>
  <c r="EF28" i="2"/>
  <c r="EN28" i="2"/>
  <c r="EV28" i="2"/>
  <c r="FD28" i="2"/>
  <c r="FK28" i="2"/>
  <c r="FP28" i="2"/>
  <c r="FU28" i="2"/>
  <c r="GA28" i="2"/>
  <c r="GF28" i="2"/>
  <c r="GK28" i="2"/>
  <c r="GQ28" i="2"/>
  <c r="GV28" i="2"/>
  <c r="HA28" i="2"/>
  <c r="HG28" i="2"/>
  <c r="HL28" i="2"/>
  <c r="HQ28" i="2"/>
  <c r="HV28" i="2"/>
  <c r="HZ28" i="2"/>
  <c r="ID28" i="2"/>
  <c r="IH28" i="2"/>
  <c r="IL28" i="2"/>
  <c r="IP28" i="2"/>
  <c r="IT28" i="2"/>
  <c r="IX28" i="2"/>
  <c r="JB28" i="2"/>
  <c r="JF28" i="2"/>
  <c r="JJ28" i="2"/>
  <c r="JN28" i="2"/>
  <c r="JR28" i="2"/>
  <c r="JV28" i="2"/>
  <c r="JZ28" i="2"/>
  <c r="DS28" i="2"/>
  <c r="EY28" i="2"/>
  <c r="FW28" i="2"/>
  <c r="GR28" i="2"/>
  <c r="HM28" i="2"/>
  <c r="HW28" i="2"/>
  <c r="IE28" i="2"/>
  <c r="IM28" i="2"/>
  <c r="IU28" i="2"/>
  <c r="JC28" i="2"/>
  <c r="JK28" i="2"/>
  <c r="JS28" i="2"/>
  <c r="KA28" i="2"/>
  <c r="EA28" i="2"/>
  <c r="FG28" i="2"/>
  <c r="GB28" i="2"/>
  <c r="HO28" i="2"/>
  <c r="HX28" i="2"/>
  <c r="IF28" i="2"/>
  <c r="IN28" i="2"/>
  <c r="IV28" i="2"/>
  <c r="JD28" i="2"/>
  <c r="JL28" i="2"/>
  <c r="JT28" i="2"/>
  <c r="KB28" i="2"/>
  <c r="EI28" i="2"/>
  <c r="FL28" i="2"/>
  <c r="GG28" i="2"/>
  <c r="HC28" i="2"/>
  <c r="HS28" i="2"/>
  <c r="IA28" i="2"/>
  <c r="II28" i="2"/>
  <c r="IQ28" i="2"/>
  <c r="IY28" i="2"/>
  <c r="JG28" i="2"/>
  <c r="JO28" i="2"/>
  <c r="JW28" i="2"/>
  <c r="DK28" i="2"/>
  <c r="HH28" i="2"/>
  <c r="IR28" i="2"/>
  <c r="JX28" i="2"/>
  <c r="M28" i="2"/>
  <c r="EQ28" i="2"/>
  <c r="HT28" i="2"/>
  <c r="IZ28" i="2"/>
  <c r="FQ28" i="2"/>
  <c r="IB28" i="2"/>
  <c r="JH28" i="2"/>
  <c r="DF24" i="2"/>
  <c r="DJ24" i="2"/>
  <c r="DN24" i="2"/>
  <c r="DR24" i="2"/>
  <c r="DV24" i="2"/>
  <c r="DZ24" i="2"/>
  <c r="ED24" i="2"/>
  <c r="EH24" i="2"/>
  <c r="EL24" i="2"/>
  <c r="EP24" i="2"/>
  <c r="ET24" i="2"/>
  <c r="EX24" i="2"/>
  <c r="FB24" i="2"/>
  <c r="FF24" i="2"/>
  <c r="FJ24" i="2"/>
  <c r="FN24" i="2"/>
  <c r="FR24" i="2"/>
  <c r="FV24" i="2"/>
  <c r="FZ24" i="2"/>
  <c r="GD24" i="2"/>
  <c r="GH24" i="2"/>
  <c r="GL24" i="2"/>
  <c r="GP24" i="2"/>
  <c r="GT24" i="2"/>
  <c r="GX24" i="2"/>
  <c r="HB24" i="2"/>
  <c r="HF24" i="2"/>
  <c r="HJ24" i="2"/>
  <c r="HN24" i="2"/>
  <c r="HR24" i="2"/>
  <c r="HV24" i="2"/>
  <c r="HZ24" i="2"/>
  <c r="ID24" i="2"/>
  <c r="IH24" i="2"/>
  <c r="IL24" i="2"/>
  <c r="IP24" i="2"/>
  <c r="IT24" i="2"/>
  <c r="IX24" i="2"/>
  <c r="JB24" i="2"/>
  <c r="JF24" i="2"/>
  <c r="DG24" i="2"/>
  <c r="DK24" i="2"/>
  <c r="DO24" i="2"/>
  <c r="DS24" i="2"/>
  <c r="DW24" i="2"/>
  <c r="EA24" i="2"/>
  <c r="EE24" i="2"/>
  <c r="EI24" i="2"/>
  <c r="EM24" i="2"/>
  <c r="EQ24" i="2"/>
  <c r="EU24" i="2"/>
  <c r="EY24" i="2"/>
  <c r="FC24" i="2"/>
  <c r="FG24" i="2"/>
  <c r="FK24" i="2"/>
  <c r="FO24" i="2"/>
  <c r="FS24" i="2"/>
  <c r="FW24" i="2"/>
  <c r="GA24" i="2"/>
  <c r="GE24" i="2"/>
  <c r="GI24" i="2"/>
  <c r="GM24" i="2"/>
  <c r="GQ24" i="2"/>
  <c r="GU24" i="2"/>
  <c r="GY24" i="2"/>
  <c r="HC24" i="2"/>
  <c r="HG24" i="2"/>
  <c r="HK24" i="2"/>
  <c r="HO24" i="2"/>
  <c r="HS24" i="2"/>
  <c r="HW24" i="2"/>
  <c r="IA24" i="2"/>
  <c r="IE24" i="2"/>
  <c r="II24" i="2"/>
  <c r="IM24" i="2"/>
  <c r="IQ24" i="2"/>
  <c r="IU24" i="2"/>
  <c r="IY24" i="2"/>
  <c r="DM24" i="2"/>
  <c r="DU24" i="2"/>
  <c r="EC24" i="2"/>
  <c r="EK24" i="2"/>
  <c r="ES24" i="2"/>
  <c r="FA24" i="2"/>
  <c r="FI24" i="2"/>
  <c r="FQ24" i="2"/>
  <c r="FY24" i="2"/>
  <c r="GG24" i="2"/>
  <c r="GO24" i="2"/>
  <c r="HE24" i="2"/>
  <c r="HM24" i="2"/>
  <c r="HU24" i="2"/>
  <c r="IC24" i="2"/>
  <c r="IK24" i="2"/>
  <c r="IS24" i="2"/>
  <c r="JA24" i="2"/>
  <c r="JG24" i="2"/>
  <c r="JK24" i="2"/>
  <c r="JO24" i="2"/>
  <c r="JS24" i="2"/>
  <c r="JW24" i="2"/>
  <c r="KA24" i="2"/>
  <c r="DH24" i="2"/>
  <c r="DP24" i="2"/>
  <c r="DX24" i="2"/>
  <c r="EF24" i="2"/>
  <c r="EN24" i="2"/>
  <c r="EV24" i="2"/>
  <c r="FD24" i="2"/>
  <c r="FL24" i="2"/>
  <c r="FT24" i="2"/>
  <c r="GB24" i="2"/>
  <c r="GJ24" i="2"/>
  <c r="GR24" i="2"/>
  <c r="GZ24" i="2"/>
  <c r="HH24" i="2"/>
  <c r="HP24" i="2"/>
  <c r="HX24" i="2"/>
  <c r="IF24" i="2"/>
  <c r="IN24" i="2"/>
  <c r="IV24" i="2"/>
  <c r="JC24" i="2"/>
  <c r="JH24" i="2"/>
  <c r="JL24" i="2"/>
  <c r="JP24" i="2"/>
  <c r="JT24" i="2"/>
  <c r="JX24" i="2"/>
  <c r="KB24" i="2"/>
  <c r="DT24" i="2"/>
  <c r="EJ24" i="2"/>
  <c r="EZ24" i="2"/>
  <c r="FP24" i="2"/>
  <c r="GF24" i="2"/>
  <c r="GV24" i="2"/>
  <c r="HL24" i="2"/>
  <c r="IB24" i="2"/>
  <c r="IR24" i="2"/>
  <c r="JE24" i="2"/>
  <c r="JN24" i="2"/>
  <c r="JV24" i="2"/>
  <c r="DI24" i="2"/>
  <c r="DY24" i="2"/>
  <c r="EO24" i="2"/>
  <c r="FE24" i="2"/>
  <c r="FU24" i="2"/>
  <c r="GK24" i="2"/>
  <c r="HA24" i="2"/>
  <c r="HQ24" i="2"/>
  <c r="IG24" i="2"/>
  <c r="IW24" i="2"/>
  <c r="JI24" i="2"/>
  <c r="JY24" i="2"/>
  <c r="DL24" i="2"/>
  <c r="EB24" i="2"/>
  <c r="ER24" i="2"/>
  <c r="FH24" i="2"/>
  <c r="FX24" i="2"/>
  <c r="GN24" i="2"/>
  <c r="HD24" i="2"/>
  <c r="HT24" i="2"/>
  <c r="IJ24" i="2"/>
  <c r="IZ24" i="2"/>
  <c r="JJ24" i="2"/>
  <c r="JR24" i="2"/>
  <c r="JZ24" i="2"/>
  <c r="EG24" i="2"/>
  <c r="GS24" i="2"/>
  <c r="JD24" i="2"/>
  <c r="EW24" i="2"/>
  <c r="HI24" i="2"/>
  <c r="JM24" i="2"/>
  <c r="FM24" i="2"/>
  <c r="HY24" i="2"/>
  <c r="JU24" i="2"/>
  <c r="IO24" i="2"/>
  <c r="KC24" i="2"/>
  <c r="DQ24" i="2"/>
  <c r="GC24" i="2"/>
  <c r="S24" i="2"/>
  <c r="S36" i="2"/>
  <c r="AA24" i="2"/>
  <c r="AE24" i="2"/>
  <c r="AI24" i="2"/>
  <c r="AI36" i="2"/>
  <c r="AM24" i="2"/>
  <c r="AQ24" i="2"/>
  <c r="AQ36" i="2"/>
  <c r="AY24" i="2"/>
  <c r="BC24" i="2"/>
  <c r="BG24" i="2"/>
  <c r="BG36" i="2"/>
  <c r="BO24" i="2"/>
  <c r="BO36" i="2"/>
  <c r="BS24" i="2"/>
  <c r="BW24" i="2"/>
  <c r="BW36" i="2"/>
  <c r="CE24" i="2"/>
  <c r="CI24" i="2"/>
  <c r="CM24" i="2"/>
  <c r="CQ24" i="2"/>
  <c r="CU24" i="2"/>
  <c r="CU36" i="2"/>
  <c r="CY24" i="2"/>
  <c r="T24" i="2"/>
  <c r="X24" i="2"/>
  <c r="X36" i="2"/>
  <c r="AF24" i="2"/>
  <c r="AJ24" i="2"/>
  <c r="AJ36" i="2"/>
  <c r="AJ37" i="2"/>
  <c r="AN24" i="2"/>
  <c r="AV24" i="2"/>
  <c r="AZ24" i="2"/>
  <c r="AZ36" i="2"/>
  <c r="BD24" i="2"/>
  <c r="BD36" i="2"/>
  <c r="BP24" i="2"/>
  <c r="BP36" i="2"/>
  <c r="BT24" i="2"/>
  <c r="CB24" i="2"/>
  <c r="CF24" i="2"/>
  <c r="CJ24" i="2"/>
  <c r="CJ36" i="2"/>
  <c r="CR24" i="2"/>
  <c r="CV24" i="2"/>
  <c r="CV36" i="2"/>
  <c r="CZ24" i="2"/>
  <c r="M24" i="2"/>
  <c r="Q24" i="2"/>
  <c r="Q28" i="2"/>
  <c r="Q36" i="2"/>
  <c r="Q32" i="2"/>
  <c r="U24" i="2"/>
  <c r="Y24" i="2"/>
  <c r="Y36" i="2"/>
  <c r="Y37" i="2"/>
  <c r="AC24" i="2"/>
  <c r="AG24" i="2"/>
  <c r="AG36" i="2"/>
  <c r="AG37" i="2"/>
  <c r="AG28" i="2"/>
  <c r="AG32" i="2"/>
  <c r="AF36" i="2"/>
  <c r="AK24" i="2"/>
  <c r="AO24" i="2"/>
  <c r="BA24" i="2"/>
  <c r="BE24" i="2"/>
  <c r="BI24" i="2"/>
  <c r="BM24" i="2"/>
  <c r="BM28" i="2"/>
  <c r="BM32" i="2"/>
  <c r="BM36" i="2"/>
  <c r="BQ24" i="2"/>
  <c r="CC24" i="2"/>
  <c r="CC36" i="2"/>
  <c r="CC37" i="2"/>
  <c r="CC28" i="2"/>
  <c r="CC32" i="2"/>
  <c r="CG24" i="2"/>
  <c r="CK24" i="2"/>
  <c r="CO24" i="2"/>
  <c r="CS24" i="2"/>
  <c r="CS28" i="2"/>
  <c r="CS36" i="2"/>
  <c r="CS37" i="2"/>
  <c r="CS32" i="2"/>
  <c r="CR36" i="2"/>
  <c r="CW24" i="2"/>
  <c r="DA24" i="2"/>
  <c r="DA32" i="2"/>
  <c r="CW32" i="2"/>
  <c r="CO32" i="2"/>
  <c r="CK32" i="2"/>
  <c r="CG32" i="2"/>
  <c r="BQ32" i="2"/>
  <c r="BI32" i="2"/>
  <c r="BE32" i="2"/>
  <c r="BA32" i="2"/>
  <c r="AO32" i="2"/>
  <c r="AO36" i="2"/>
  <c r="AK32" i="2"/>
  <c r="AC32" i="2"/>
  <c r="Y32" i="2"/>
  <c r="U32" i="2"/>
  <c r="M32" i="2"/>
  <c r="DA28" i="2"/>
  <c r="CW28" i="2"/>
  <c r="CO28" i="2"/>
  <c r="CK28" i="2"/>
  <c r="CG28" i="2"/>
  <c r="BQ28" i="2"/>
  <c r="BI28" i="2"/>
  <c r="BE28" i="2"/>
  <c r="BA28" i="2"/>
  <c r="AO28" i="2"/>
  <c r="AK28" i="2"/>
  <c r="AC28" i="2"/>
  <c r="Y28" i="2"/>
  <c r="U28" i="2"/>
  <c r="DC24" i="2"/>
  <c r="DC36" i="2"/>
  <c r="BZ24" i="2"/>
  <c r="BZ36" i="2"/>
  <c r="BJ24" i="2"/>
  <c r="BJ36" i="2"/>
  <c r="AT24" i="2"/>
  <c r="AT36" i="2"/>
  <c r="N24" i="2"/>
  <c r="N36" i="2"/>
  <c r="KC32" i="2"/>
  <c r="IW32" i="2"/>
  <c r="HQ32" i="2"/>
  <c r="HQ36" i="2"/>
  <c r="GK32" i="2"/>
  <c r="FE32" i="2"/>
  <c r="DY32" i="2"/>
  <c r="JU32" i="2"/>
  <c r="IO32" i="2"/>
  <c r="HI32" i="2"/>
  <c r="GC32" i="2"/>
  <c r="EW32" i="2"/>
  <c r="DQ32" i="2"/>
  <c r="JP28" i="2"/>
  <c r="JM32" i="2"/>
  <c r="IG32" i="2"/>
  <c r="HA32" i="2"/>
  <c r="FU32" i="2"/>
  <c r="EO32" i="2"/>
  <c r="DI32" i="2"/>
  <c r="IJ28" i="2"/>
  <c r="CF36" i="2"/>
  <c r="T36" i="2"/>
  <c r="DA36" i="2"/>
  <c r="CH36" i="2"/>
  <c r="BV36" i="2"/>
  <c r="BB36" i="2"/>
  <c r="V36" i="2"/>
  <c r="CK36" i="2"/>
  <c r="BE36" i="2"/>
  <c r="CB36" i="2"/>
  <c r="CB37" i="2"/>
  <c r="AV36" i="2"/>
  <c r="AV37" i="2"/>
  <c r="J36" i="2"/>
  <c r="C26" i="2"/>
  <c r="C25" i="2"/>
  <c r="C24" i="2"/>
  <c r="C23" i="2"/>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 i="1"/>
  <c r="CQ36" i="2"/>
  <c r="CQ37" i="2"/>
  <c r="AE36" i="2"/>
  <c r="AF37" i="2"/>
  <c r="BV37" i="2"/>
  <c r="JY36" i="2"/>
  <c r="GX36" i="2"/>
  <c r="DU36" i="2"/>
  <c r="HX36" i="2"/>
  <c r="FL36" i="2"/>
  <c r="FL37" i="2"/>
  <c r="FK36" i="2"/>
  <c r="FK37" i="2"/>
  <c r="HE36" i="2"/>
  <c r="ES36" i="2"/>
  <c r="JL36" i="2"/>
  <c r="GZ36" i="2"/>
  <c r="EN36" i="2"/>
  <c r="JP36" i="2"/>
  <c r="JP37" i="2"/>
  <c r="JO36" i="2"/>
  <c r="IJ36" i="2"/>
  <c r="HD36" i="2"/>
  <c r="FX36" i="2"/>
  <c r="FX37" i="2"/>
  <c r="ER36" i="2"/>
  <c r="EQ36" i="2"/>
  <c r="ER37" i="2"/>
  <c r="DL36" i="2"/>
  <c r="HY36" i="2"/>
  <c r="KA36" i="2"/>
  <c r="JK36" i="2"/>
  <c r="IU36" i="2"/>
  <c r="IU37" i="2"/>
  <c r="IE36" i="2"/>
  <c r="HO36" i="2"/>
  <c r="GY36" i="2"/>
  <c r="GI36" i="2"/>
  <c r="GI37" i="2"/>
  <c r="FS36" i="2"/>
  <c r="FC36" i="2"/>
  <c r="EM36" i="2"/>
  <c r="DW36" i="2"/>
  <c r="DW37" i="2"/>
  <c r="DG36" i="2"/>
  <c r="JN36" i="2"/>
  <c r="IX36" i="2"/>
  <c r="IY36" i="2"/>
  <c r="IY37" i="2"/>
  <c r="IH36" i="2"/>
  <c r="HR36" i="2"/>
  <c r="HB36" i="2"/>
  <c r="HC37" i="2"/>
  <c r="GL36" i="2"/>
  <c r="FV36" i="2"/>
  <c r="FF36" i="2"/>
  <c r="EP36" i="2"/>
  <c r="DZ36" i="2"/>
  <c r="EA36" i="2"/>
  <c r="EA37" i="2"/>
  <c r="DJ36" i="2"/>
  <c r="BS36" i="2"/>
  <c r="BQ36" i="2"/>
  <c r="HM36" i="2"/>
  <c r="HM37" i="2"/>
  <c r="EK36" i="2"/>
  <c r="JT36" i="2"/>
  <c r="HH36" i="2"/>
  <c r="EV36" i="2"/>
  <c r="EV37" i="2"/>
  <c r="JA36" i="2"/>
  <c r="GO36" i="2"/>
  <c r="EC36" i="2"/>
  <c r="IV36" i="2"/>
  <c r="IV37" i="2"/>
  <c r="GJ36" i="2"/>
  <c r="GJ37" i="2"/>
  <c r="DX36" i="2"/>
  <c r="DX37" i="2"/>
  <c r="JH36" i="2"/>
  <c r="IB36" i="2"/>
  <c r="GV36" i="2"/>
  <c r="GV37" i="2"/>
  <c r="GU36" i="2"/>
  <c r="FP36" i="2"/>
  <c r="EJ36" i="2"/>
  <c r="EJ37" i="2"/>
  <c r="KC36" i="2"/>
  <c r="IW36" i="2"/>
  <c r="GK36" i="2"/>
  <c r="GL37" i="2"/>
  <c r="FE36" i="2"/>
  <c r="DY36" i="2"/>
  <c r="JW36" i="2"/>
  <c r="JG36" i="2"/>
  <c r="JG37" i="2"/>
  <c r="IQ36" i="2"/>
  <c r="IA36" i="2"/>
  <c r="HK36" i="2"/>
  <c r="GE36" i="2"/>
  <c r="GE37" i="2"/>
  <c r="FO36" i="2"/>
  <c r="EY36" i="2"/>
  <c r="EI36" i="2"/>
  <c r="DS36" i="2"/>
  <c r="DS37" i="2"/>
  <c r="JZ36" i="2"/>
  <c r="KA37" i="2"/>
  <c r="JJ36" i="2"/>
  <c r="IT36" i="2"/>
  <c r="IT37" i="2"/>
  <c r="ID36" i="2"/>
  <c r="IE37" i="2"/>
  <c r="HN36" i="2"/>
  <c r="HO37" i="2"/>
  <c r="GH36" i="2"/>
  <c r="FR36" i="2"/>
  <c r="FS37" i="2"/>
  <c r="FB36" i="2"/>
  <c r="FC37" i="2"/>
  <c r="EL36" i="2"/>
  <c r="EL37" i="2"/>
  <c r="DV36" i="2"/>
  <c r="DF36" i="2"/>
  <c r="CR37" i="2"/>
  <c r="IC36" i="2"/>
  <c r="FA36" i="2"/>
  <c r="FB37" i="2"/>
  <c r="IS36" i="2"/>
  <c r="JD36" i="2"/>
  <c r="JC36" i="2"/>
  <c r="JD37" i="2"/>
  <c r="GR36" i="2"/>
  <c r="EF36" i="2"/>
  <c r="IK36" i="2"/>
  <c r="FY36" i="2"/>
  <c r="FZ37" i="2"/>
  <c r="DM36" i="2"/>
  <c r="IF36" i="2"/>
  <c r="IF37" i="2"/>
  <c r="FT36" i="2"/>
  <c r="FT37" i="2"/>
  <c r="DH36" i="2"/>
  <c r="DH37" i="2"/>
  <c r="IZ36" i="2"/>
  <c r="IZ37" i="2"/>
  <c r="HT36" i="2"/>
  <c r="GN36" i="2"/>
  <c r="FH36" i="2"/>
  <c r="FH37" i="2"/>
  <c r="FG36" i="2"/>
  <c r="FG37" i="2"/>
  <c r="EB36" i="2"/>
  <c r="JU36" i="2"/>
  <c r="IO36" i="2"/>
  <c r="IO37" i="2"/>
  <c r="HI36" i="2"/>
  <c r="GC36" i="2"/>
  <c r="EW36" i="2"/>
  <c r="DQ36" i="2"/>
  <c r="DQ37" i="2"/>
  <c r="JS36" i="2"/>
  <c r="IM36" i="2"/>
  <c r="HW36" i="2"/>
  <c r="HG36" i="2"/>
  <c r="HH37" i="2"/>
  <c r="GQ36" i="2"/>
  <c r="GA36" i="2"/>
  <c r="EU36" i="2"/>
  <c r="EE36" i="2"/>
  <c r="EF37" i="2"/>
  <c r="DO36" i="2"/>
  <c r="JV36" i="2"/>
  <c r="JW37" i="2"/>
  <c r="JF36" i="2"/>
  <c r="IP36" i="2"/>
  <c r="IQ37" i="2"/>
  <c r="HZ36" i="2"/>
  <c r="HZ37" i="2"/>
  <c r="HJ36" i="2"/>
  <c r="HK37" i="2"/>
  <c r="GT36" i="2"/>
  <c r="GU37" i="2"/>
  <c r="GD36" i="2"/>
  <c r="FN36" i="2"/>
  <c r="EX36" i="2"/>
  <c r="EY37" i="2"/>
  <c r="EH36" i="2"/>
  <c r="EI37" i="2"/>
  <c r="DR36" i="2"/>
  <c r="BE37" i="2"/>
  <c r="BA36" i="2"/>
  <c r="BB37" i="2"/>
  <c r="CW36" i="2"/>
  <c r="CW37" i="2"/>
  <c r="AK36" i="2"/>
  <c r="AK37" i="2"/>
  <c r="FQ36" i="2"/>
  <c r="FQ37" i="2"/>
  <c r="JI36" i="2"/>
  <c r="GG36" i="2"/>
  <c r="IN36" i="2"/>
  <c r="IN37" i="2"/>
  <c r="GB36" i="2"/>
  <c r="GB37" i="2"/>
  <c r="DP36" i="2"/>
  <c r="DP37" i="2"/>
  <c r="HU36" i="2"/>
  <c r="FI36" i="2"/>
  <c r="KB36" i="2"/>
  <c r="KB37" i="2"/>
  <c r="HP36" i="2"/>
  <c r="HP37" i="2"/>
  <c r="FD36" i="2"/>
  <c r="FD37" i="2"/>
  <c r="JX36" i="2"/>
  <c r="JX37" i="2"/>
  <c r="IR36" i="2"/>
  <c r="IR37" i="2"/>
  <c r="HL36" i="2"/>
  <c r="HL37" i="2"/>
  <c r="GF36" i="2"/>
  <c r="GF37" i="2"/>
  <c r="EZ36" i="2"/>
  <c r="EZ37" i="2"/>
  <c r="DT36" i="2"/>
  <c r="DT37" i="2"/>
  <c r="JM36" i="2"/>
  <c r="IG36" i="2"/>
  <c r="HA36" i="2"/>
  <c r="FU36" i="2"/>
  <c r="FU37" i="2"/>
  <c r="EO36" i="2"/>
  <c r="DI36" i="2"/>
  <c r="II36" i="2"/>
  <c r="HS36" i="2"/>
  <c r="HS37" i="2"/>
  <c r="HC36" i="2"/>
  <c r="FW36" i="2"/>
  <c r="DK36" i="2"/>
  <c r="JR36" i="2"/>
  <c r="JR37" i="2"/>
  <c r="JB36" i="2"/>
  <c r="JC37" i="2"/>
  <c r="IL36" i="2"/>
  <c r="IM37" i="2"/>
  <c r="HV36" i="2"/>
  <c r="HW37" i="2"/>
  <c r="HF36" i="2"/>
  <c r="GP36" i="2"/>
  <c r="GQ37" i="2"/>
  <c r="FZ36" i="2"/>
  <c r="GA37" i="2"/>
  <c r="FJ36" i="2"/>
  <c r="FJ37" i="2"/>
  <c r="ET36" i="2"/>
  <c r="ED36" i="2"/>
  <c r="EE37" i="2"/>
  <c r="DN36" i="2"/>
  <c r="DO37" i="2"/>
  <c r="BW37" i="2"/>
  <c r="JJ37" i="2"/>
  <c r="JI37" i="2"/>
  <c r="FV37" i="2"/>
  <c r="DR37" i="2"/>
  <c r="IL37" i="2"/>
  <c r="IK37" i="2"/>
  <c r="IS37" i="2"/>
  <c r="DG37" i="2"/>
  <c r="FF37" i="2"/>
  <c r="FE37" i="2"/>
  <c r="KC37" i="2"/>
  <c r="IB37" i="2"/>
  <c r="HN37" i="2"/>
  <c r="EQ37" i="2"/>
  <c r="JO37" i="2"/>
  <c r="HY37" i="2"/>
  <c r="EN37" i="2"/>
  <c r="HF37" i="2"/>
  <c r="HE37" i="2"/>
  <c r="HX37" i="2"/>
  <c r="JZ37" i="2"/>
  <c r="JY37" i="2"/>
  <c r="EP37" i="2"/>
  <c r="EO37" i="2"/>
  <c r="HJ37" i="2"/>
  <c r="HI37" i="2"/>
  <c r="FY37" i="2"/>
  <c r="IX37" i="2"/>
  <c r="JB37" i="2"/>
  <c r="JA37" i="2"/>
  <c r="ET37" i="2"/>
  <c r="ES37" i="2"/>
  <c r="HA37" i="2"/>
  <c r="FI37" i="2"/>
  <c r="FO37" i="2"/>
  <c r="IA37" i="2"/>
  <c r="JV37" i="2"/>
  <c r="JU37" i="2"/>
  <c r="FA37" i="2"/>
  <c r="JH37" i="2"/>
  <c r="ED37" i="2"/>
  <c r="EC37" i="2"/>
  <c r="BQ37" i="2"/>
  <c r="HD37" i="2"/>
  <c r="GZ37" i="2"/>
  <c r="DV37" i="2"/>
  <c r="DU37" i="2"/>
  <c r="JN37" i="2"/>
  <c r="JM37" i="2"/>
  <c r="DZ37" i="2"/>
  <c r="EK37" i="2"/>
  <c r="EU37" i="2"/>
  <c r="DJ37" i="2"/>
  <c r="DI37" i="2"/>
  <c r="IH37" i="2"/>
  <c r="IG37" i="2"/>
  <c r="HV37" i="2"/>
  <c r="HU37" i="2"/>
  <c r="GH37" i="2"/>
  <c r="GG37" i="2"/>
  <c r="GD37" i="2"/>
  <c r="GC37" i="2"/>
  <c r="EB37" i="2"/>
  <c r="DN37" i="2"/>
  <c r="DM37" i="2"/>
  <c r="GR37" i="2"/>
  <c r="ID37" i="2"/>
  <c r="IC37" i="2"/>
  <c r="EM37" i="2"/>
  <c r="GY37" i="2"/>
  <c r="JK37" i="2"/>
  <c r="FP37" i="2"/>
  <c r="GO37" i="2"/>
  <c r="JT37" i="2"/>
  <c r="DK37" i="2"/>
  <c r="FW37" i="2"/>
  <c r="II37" i="2"/>
  <c r="DL37" i="2"/>
  <c r="IJ37" i="2"/>
  <c r="JL37" i="2"/>
  <c r="E70" i="1"/>
  <c r="E71" i="1"/>
  <c r="E72" i="1"/>
  <c r="E73" i="1"/>
  <c r="E74" i="1"/>
  <c r="E75" i="1"/>
  <c r="E76" i="1"/>
  <c r="E77" i="1"/>
  <c r="E78" i="1"/>
  <c r="E69" i="1"/>
  <c r="D70" i="1"/>
  <c r="D71" i="1"/>
  <c r="D72" i="1"/>
  <c r="D73" i="1"/>
  <c r="D74" i="1"/>
  <c r="D75" i="1"/>
  <c r="D76" i="1"/>
  <c r="D77" i="1"/>
  <c r="D78" i="1"/>
  <c r="D69" i="1"/>
  <c r="L27" i="1"/>
  <c r="BA37" i="2"/>
  <c r="BK37" i="2"/>
  <c r="GX37" i="2"/>
  <c r="GW37" i="2"/>
  <c r="W36" i="2"/>
  <c r="W37" i="2"/>
  <c r="CV37" i="2"/>
  <c r="AR37" i="2"/>
  <c r="L37" i="2"/>
  <c r="GT37" i="2"/>
  <c r="GS37" i="2"/>
  <c r="CA37" i="2"/>
  <c r="Q37" i="2"/>
  <c r="P36" i="2"/>
  <c r="BH37" i="2"/>
  <c r="GM37" i="2"/>
  <c r="GN37" i="2"/>
  <c r="CK37" i="2"/>
  <c r="BP37" i="2"/>
  <c r="HR37" i="2"/>
  <c r="HQ37" i="2"/>
  <c r="AU37" i="2"/>
  <c r="T37" i="2"/>
  <c r="V37" i="2"/>
  <c r="U37" i="2"/>
  <c r="GP37" i="2"/>
  <c r="JS37" i="2"/>
  <c r="DY37" i="2"/>
  <c r="GK37" i="2"/>
  <c r="EW37" i="2"/>
  <c r="IW37" i="2"/>
  <c r="IP37" i="2"/>
  <c r="FR37" i="2"/>
  <c r="CY31" i="2"/>
  <c r="CY36" i="2"/>
  <c r="CD31" i="2"/>
  <c r="BI31" i="2"/>
  <c r="AM31" i="2"/>
  <c r="AM36" i="2"/>
  <c r="R31" i="2"/>
  <c r="R36" i="2"/>
  <c r="FM32" i="2"/>
  <c r="FM36" i="2"/>
  <c r="HG37" i="2"/>
  <c r="HT37" i="2"/>
  <c r="EX37" i="2"/>
  <c r="AE37" i="2"/>
  <c r="CT31" i="2"/>
  <c r="CT36" i="2"/>
  <c r="CT37" i="2"/>
  <c r="BY31" i="2"/>
  <c r="BY36" i="2"/>
  <c r="BY37" i="2"/>
  <c r="BC31" i="2"/>
  <c r="BC36" i="2"/>
  <c r="AH31" i="2"/>
  <c r="AH36" i="2"/>
  <c r="M31" i="2"/>
  <c r="M36" i="2"/>
  <c r="M37" i="2"/>
  <c r="CO29" i="2"/>
  <c r="CO36" i="2"/>
  <c r="CO37" i="2"/>
  <c r="BT29" i="2"/>
  <c r="BT36" i="2"/>
  <c r="AY29" i="2"/>
  <c r="AY36" i="2"/>
  <c r="AC29" i="2"/>
  <c r="AC36" i="2"/>
  <c r="AC37" i="2"/>
  <c r="CL24" i="2"/>
  <c r="CL36" i="2"/>
  <c r="CL37" i="2"/>
  <c r="BR24" i="2"/>
  <c r="AX24" i="2"/>
  <c r="AX36" i="2"/>
  <c r="Z24" i="2"/>
  <c r="Z36" i="2"/>
  <c r="Z37" i="2"/>
  <c r="JE32" i="2"/>
  <c r="JE36" i="2"/>
  <c r="JE37" i="2"/>
  <c r="EG32" i="2"/>
  <c r="EG36" i="2"/>
  <c r="HB37" i="2"/>
  <c r="AA31" i="2"/>
  <c r="AA36" i="2"/>
  <c r="AW31" i="2"/>
  <c r="AW36" i="2"/>
  <c r="AW37" i="2"/>
  <c r="BR31" i="2"/>
  <c r="CM31" i="2"/>
  <c r="CM36" i="2"/>
  <c r="CM37" i="2"/>
  <c r="DE31" i="2"/>
  <c r="DE36" i="2"/>
  <c r="CI31" i="2"/>
  <c r="CI36" i="2"/>
  <c r="CI37" i="2"/>
  <c r="BN31" i="2"/>
  <c r="BN36" i="2"/>
  <c r="BN37" i="2"/>
  <c r="AS31" i="2"/>
  <c r="AS36" i="2"/>
  <c r="DB30" i="2"/>
  <c r="DB36" i="2"/>
  <c r="DB37" i="2"/>
  <c r="CG30" i="2"/>
  <c r="CG36" i="2"/>
  <c r="BL30" i="2"/>
  <c r="BL36" i="2"/>
  <c r="AP30" i="2"/>
  <c r="AP36" i="2"/>
  <c r="AP37" i="2"/>
  <c r="CZ29" i="2"/>
  <c r="CZ36" i="2"/>
  <c r="CE29" i="2"/>
  <c r="CE36" i="2"/>
  <c r="BI29" i="2"/>
  <c r="BI36" i="2"/>
  <c r="BI37" i="2"/>
  <c r="AN29" i="2"/>
  <c r="AN36" i="2"/>
  <c r="AN37" i="2"/>
  <c r="O28" i="2"/>
  <c r="O36" i="2"/>
  <c r="O37" i="2"/>
  <c r="CX24" i="2"/>
  <c r="CX36" i="2"/>
  <c r="CX37" i="2"/>
  <c r="CD24" i="2"/>
  <c r="CD36" i="2"/>
  <c r="CD37" i="2"/>
  <c r="BF24" i="2"/>
  <c r="BF36" i="2"/>
  <c r="BF37" i="2"/>
  <c r="AL24" i="2"/>
  <c r="AL36" i="2"/>
  <c r="AL37" i="2"/>
  <c r="L15" i="1"/>
  <c r="L33" i="1"/>
  <c r="K51" i="2"/>
  <c r="L50" i="2"/>
  <c r="M51" i="2"/>
  <c r="Q51" i="2"/>
  <c r="T50" i="2"/>
  <c r="U51" i="2"/>
  <c r="Y51" i="2"/>
  <c r="AB50" i="2"/>
  <c r="AC51" i="2"/>
  <c r="AG51" i="2"/>
  <c r="AJ50" i="2"/>
  <c r="AK51" i="2"/>
  <c r="C50" i="2"/>
  <c r="J50" i="2"/>
  <c r="L51" i="2"/>
  <c r="O50" i="2"/>
  <c r="P51" i="2"/>
  <c r="S50" i="2"/>
  <c r="T51" i="2"/>
  <c r="W50" i="2"/>
  <c r="X51" i="2"/>
  <c r="AA50" i="2"/>
  <c r="AB51" i="2"/>
  <c r="L19" i="1"/>
  <c r="L29" i="1"/>
  <c r="C53" i="2"/>
  <c r="DE37" i="2"/>
  <c r="DF37" i="2"/>
  <c r="AS37" i="2"/>
  <c r="AT37" i="2"/>
  <c r="AA37" i="2"/>
  <c r="AB37" i="2"/>
  <c r="BL37" i="2"/>
  <c r="BM37" i="2"/>
  <c r="R37" i="2"/>
  <c r="S37" i="2"/>
  <c r="DA37" i="2"/>
  <c r="CZ37" i="2"/>
  <c r="AQ37" i="2"/>
  <c r="J53" i="2"/>
  <c r="L54" i="2"/>
  <c r="N53" i="2"/>
  <c r="O54" i="2"/>
  <c r="R53" i="2"/>
  <c r="V53" i="2"/>
  <c r="W54" i="2"/>
  <c r="Z53" i="2"/>
  <c r="AD53" i="2"/>
  <c r="AE54" i="2"/>
  <c r="AH53" i="2"/>
  <c r="AL53" i="2"/>
  <c r="K53" i="2"/>
  <c r="M53" i="2"/>
  <c r="Q53" i="2"/>
  <c r="R54" i="2"/>
  <c r="U53" i="2"/>
  <c r="Y53" i="2"/>
  <c r="Z54" i="2"/>
  <c r="AC53" i="2"/>
  <c r="C54" i="2"/>
  <c r="Q54" i="2"/>
  <c r="T53" i="2"/>
  <c r="AB53" i="2"/>
  <c r="AJ54" i="2"/>
  <c r="AK54" i="2"/>
  <c r="AN53" i="2"/>
  <c r="AO54" i="2"/>
  <c r="AR53" i="2"/>
  <c r="AV53" i="2"/>
  <c r="AW54" i="2"/>
  <c r="AZ53" i="2"/>
  <c r="BD53" i="2"/>
  <c r="O53" i="2"/>
  <c r="T54" i="2"/>
  <c r="W53" i="2"/>
  <c r="AB54" i="2"/>
  <c r="AM53" i="2"/>
  <c r="AN54" i="2"/>
  <c r="AQ53" i="2"/>
  <c r="AR54" i="2"/>
  <c r="AU53" i="2"/>
  <c r="AV54" i="2"/>
  <c r="AY53" i="2"/>
  <c r="AZ54" i="2"/>
  <c r="BC53" i="2"/>
  <c r="BD54" i="2"/>
  <c r="BG53" i="2"/>
  <c r="L53" i="2"/>
  <c r="M54" i="2"/>
  <c r="P53" i="2"/>
  <c r="U54" i="2"/>
  <c r="AC54" i="2"/>
  <c r="AF53" i="2"/>
  <c r="AG53" i="2"/>
  <c r="AP53" i="2"/>
  <c r="AT53" i="2"/>
  <c r="AX53" i="2"/>
  <c r="BB53" i="2"/>
  <c r="BE53" i="2"/>
  <c r="BH53" i="2"/>
  <c r="BI54" i="2"/>
  <c r="BL53" i="2"/>
  <c r="BM54" i="2"/>
  <c r="P54" i="2"/>
  <c r="X53" i="2"/>
  <c r="AF54" i="2"/>
  <c r="AG54" i="2"/>
  <c r="AH54" i="2"/>
  <c r="AI53" i="2"/>
  <c r="AJ53" i="2"/>
  <c r="AK53" i="2"/>
  <c r="AP54" i="2"/>
  <c r="AT54" i="2"/>
  <c r="AX54" i="2"/>
  <c r="BB54" i="2"/>
  <c r="BE54" i="2"/>
  <c r="BF53" i="2"/>
  <c r="BH54" i="2"/>
  <c r="BK53" i="2"/>
  <c r="BL54" i="2"/>
  <c r="X54" i="2"/>
  <c r="AO53" i="2"/>
  <c r="AS53" i="2"/>
  <c r="AW53" i="2"/>
  <c r="BA53" i="2"/>
  <c r="BF54" i="2"/>
  <c r="BG54" i="2"/>
  <c r="BJ53" i="2"/>
  <c r="BK54" i="2"/>
  <c r="BN53" i="2"/>
  <c r="BO54" i="2"/>
  <c r="BR53" i="2"/>
  <c r="BS54" i="2"/>
  <c r="BV53" i="2"/>
  <c r="BW54" i="2"/>
  <c r="S53" i="2"/>
  <c r="AA53" i="2"/>
  <c r="AE53" i="2"/>
  <c r="AM54" i="2"/>
  <c r="AQ54" i="2"/>
  <c r="AU54" i="2"/>
  <c r="AY54" i="2"/>
  <c r="BC54" i="2"/>
  <c r="BI53" i="2"/>
  <c r="BJ54" i="2"/>
  <c r="BT54" i="2"/>
  <c r="BU53" i="2"/>
  <c r="BZ53" i="2"/>
  <c r="CA54" i="2"/>
  <c r="CD53" i="2"/>
  <c r="CE54" i="2"/>
  <c r="CH53" i="2"/>
  <c r="CI54" i="2"/>
  <c r="CL53" i="2"/>
  <c r="CM54" i="2"/>
  <c r="CP53" i="2"/>
  <c r="CQ54" i="2"/>
  <c r="CT53" i="2"/>
  <c r="CU54" i="2"/>
  <c r="CX53" i="2"/>
  <c r="CY54" i="2"/>
  <c r="DB53" i="2"/>
  <c r="DC54" i="2"/>
  <c r="DF53" i="2"/>
  <c r="DG54" i="2"/>
  <c r="DJ53" i="2"/>
  <c r="BO53" i="2"/>
  <c r="BP53" i="2"/>
  <c r="BU54" i="2"/>
  <c r="BV54" i="2"/>
  <c r="BW53" i="2"/>
  <c r="BY53" i="2"/>
  <c r="BZ54" i="2"/>
  <c r="CC53" i="2"/>
  <c r="CD54" i="2"/>
  <c r="CG53" i="2"/>
  <c r="CH54" i="2"/>
  <c r="CK53" i="2"/>
  <c r="CL54" i="2"/>
  <c r="CO53" i="2"/>
  <c r="CP54" i="2"/>
  <c r="CS53" i="2"/>
  <c r="CT54" i="2"/>
  <c r="CW53" i="2"/>
  <c r="CX54" i="2"/>
  <c r="DA53" i="2"/>
  <c r="DB54" i="2"/>
  <c r="DE53" i="2"/>
  <c r="DF54" i="2"/>
  <c r="DI53" i="2"/>
  <c r="DJ54" i="2"/>
  <c r="DM53" i="2"/>
  <c r="DN54" i="2"/>
  <c r="DQ53" i="2"/>
  <c r="DR54" i="2"/>
  <c r="DU53" i="2"/>
  <c r="DV54" i="2"/>
  <c r="DY53" i="2"/>
  <c r="DZ54" i="2"/>
  <c r="EC53" i="2"/>
  <c r="ED54" i="2"/>
  <c r="BM53" i="2"/>
  <c r="BP54" i="2"/>
  <c r="BQ53" i="2"/>
  <c r="BX53" i="2"/>
  <c r="BY54" i="2"/>
  <c r="CB53" i="2"/>
  <c r="CC54" i="2"/>
  <c r="CF53" i="2"/>
  <c r="CG54" i="2"/>
  <c r="CJ53" i="2"/>
  <c r="CK54" i="2"/>
  <c r="CN53" i="2"/>
  <c r="CO54" i="2"/>
  <c r="CR53" i="2"/>
  <c r="CS54" i="2"/>
  <c r="CV53" i="2"/>
  <c r="CW54" i="2"/>
  <c r="CZ53" i="2"/>
  <c r="DA54" i="2"/>
  <c r="DD53" i="2"/>
  <c r="DE54" i="2"/>
  <c r="DH53" i="2"/>
  <c r="DI54" i="2"/>
  <c r="DL53" i="2"/>
  <c r="DM54" i="2"/>
  <c r="DP53" i="2"/>
  <c r="DQ54" i="2"/>
  <c r="DT53" i="2"/>
  <c r="DU54" i="2"/>
  <c r="DX53" i="2"/>
  <c r="DY54" i="2"/>
  <c r="BN54" i="2"/>
  <c r="BR54" i="2"/>
  <c r="CA53" i="2"/>
  <c r="CB54" i="2"/>
  <c r="CI53" i="2"/>
  <c r="CJ54" i="2"/>
  <c r="CQ53" i="2"/>
  <c r="CR54" i="2"/>
  <c r="CY53" i="2"/>
  <c r="CZ54" i="2"/>
  <c r="DG53" i="2"/>
  <c r="DH54" i="2"/>
  <c r="DK53" i="2"/>
  <c r="DO53" i="2"/>
  <c r="DS53" i="2"/>
  <c r="DW53" i="2"/>
  <c r="EE54" i="2"/>
  <c r="EG53" i="2"/>
  <c r="EH54" i="2"/>
  <c r="EK53" i="2"/>
  <c r="EL54" i="2"/>
  <c r="EO53" i="2"/>
  <c r="EP54" i="2"/>
  <c r="ES53" i="2"/>
  <c r="ET54" i="2"/>
  <c r="EW53" i="2"/>
  <c r="EX54" i="2"/>
  <c r="FA53" i="2"/>
  <c r="FB54" i="2"/>
  <c r="FE53" i="2"/>
  <c r="FF54" i="2"/>
  <c r="FI53" i="2"/>
  <c r="FJ54" i="2"/>
  <c r="FM53" i="2"/>
  <c r="FN54" i="2"/>
  <c r="FQ53" i="2"/>
  <c r="FR54" i="2"/>
  <c r="FU53" i="2"/>
  <c r="BQ54" i="2"/>
  <c r="DK54" i="2"/>
  <c r="DO54" i="2"/>
  <c r="DS54" i="2"/>
  <c r="DW54" i="2"/>
  <c r="EA53" i="2"/>
  <c r="EF53" i="2"/>
  <c r="EG54" i="2"/>
  <c r="EJ53" i="2"/>
  <c r="EK54" i="2"/>
  <c r="EN53" i="2"/>
  <c r="EO54" i="2"/>
  <c r="ER53" i="2"/>
  <c r="ES54" i="2"/>
  <c r="EV53" i="2"/>
  <c r="EW54" i="2"/>
  <c r="EZ53" i="2"/>
  <c r="FA54" i="2"/>
  <c r="FD53" i="2"/>
  <c r="FE54" i="2"/>
  <c r="FH53" i="2"/>
  <c r="FI54" i="2"/>
  <c r="FL53" i="2"/>
  <c r="FM54" i="2"/>
  <c r="FP53" i="2"/>
  <c r="FQ54" i="2"/>
  <c r="FT53" i="2"/>
  <c r="FU54" i="2"/>
  <c r="FX53" i="2"/>
  <c r="FY54" i="2"/>
  <c r="GB53" i="2"/>
  <c r="GC54" i="2"/>
  <c r="BT53" i="2"/>
  <c r="BX54" i="2"/>
  <c r="CE53" i="2"/>
  <c r="CF54" i="2"/>
  <c r="CM53" i="2"/>
  <c r="CN54" i="2"/>
  <c r="CU53" i="2"/>
  <c r="CV54" i="2"/>
  <c r="DC53" i="2"/>
  <c r="DD54" i="2"/>
  <c r="DN53" i="2"/>
  <c r="DR53" i="2"/>
  <c r="DV53" i="2"/>
  <c r="DZ53" i="2"/>
  <c r="EA54" i="2"/>
  <c r="EB53" i="2"/>
  <c r="EF54" i="2"/>
  <c r="EI53" i="2"/>
  <c r="BS53" i="2"/>
  <c r="DL54" i="2"/>
  <c r="DP54" i="2"/>
  <c r="DT54" i="2"/>
  <c r="DX54" i="2"/>
  <c r="EB54" i="2"/>
  <c r="EC54" i="2"/>
  <c r="ED53" i="2"/>
  <c r="EM53" i="2"/>
  <c r="EQ53" i="2"/>
  <c r="EU53" i="2"/>
  <c r="EY53" i="2"/>
  <c r="FC53" i="2"/>
  <c r="FG53" i="2"/>
  <c r="FK53" i="2"/>
  <c r="FO53" i="2"/>
  <c r="FS53" i="2"/>
  <c r="FV54" i="2"/>
  <c r="FW53" i="2"/>
  <c r="EH53" i="2"/>
  <c r="EI54" i="2"/>
  <c r="EM54" i="2"/>
  <c r="EQ54" i="2"/>
  <c r="EU54" i="2"/>
  <c r="EY54" i="2"/>
  <c r="FC54" i="2"/>
  <c r="FG54" i="2"/>
  <c r="FK54" i="2"/>
  <c r="FO54" i="2"/>
  <c r="EL53" i="2"/>
  <c r="EP53" i="2"/>
  <c r="ET53" i="2"/>
  <c r="EX53" i="2"/>
  <c r="FB53" i="2"/>
  <c r="FF53" i="2"/>
  <c r="FJ53" i="2"/>
  <c r="FN53" i="2"/>
  <c r="FR53" i="2"/>
  <c r="FZ54" i="2"/>
  <c r="GA53" i="2"/>
  <c r="EE53" i="2"/>
  <c r="EJ54" i="2"/>
  <c r="EN54" i="2"/>
  <c r="ER54" i="2"/>
  <c r="EV54" i="2"/>
  <c r="EZ54" i="2"/>
  <c r="FD54" i="2"/>
  <c r="FH54" i="2"/>
  <c r="FL54" i="2"/>
  <c r="FP54" i="2"/>
  <c r="FT54" i="2"/>
  <c r="FV53" i="2"/>
  <c r="GA54" i="2"/>
  <c r="GB54" i="2"/>
  <c r="GC53" i="2"/>
  <c r="GD53" i="2"/>
  <c r="GF53" i="2"/>
  <c r="GG54" i="2"/>
  <c r="GJ53" i="2"/>
  <c r="FX54" i="2"/>
  <c r="FY53" i="2"/>
  <c r="FZ53" i="2"/>
  <c r="GD54" i="2"/>
  <c r="GF54" i="2"/>
  <c r="GI54" i="2"/>
  <c r="GJ54" i="2"/>
  <c r="GL53" i="2"/>
  <c r="GM54" i="2"/>
  <c r="GP53" i="2"/>
  <c r="GQ54" i="2"/>
  <c r="GT53" i="2"/>
  <c r="GU54" i="2"/>
  <c r="GX53" i="2"/>
  <c r="GY54" i="2"/>
  <c r="HB53" i="2"/>
  <c r="HC54" i="2"/>
  <c r="HF53" i="2"/>
  <c r="HG54" i="2"/>
  <c r="HJ53" i="2"/>
  <c r="HK54" i="2"/>
  <c r="HN53" i="2"/>
  <c r="HO54" i="2"/>
  <c r="HR53" i="2"/>
  <c r="HS54" i="2"/>
  <c r="HV53" i="2"/>
  <c r="HW54" i="2"/>
  <c r="HZ53" i="2"/>
  <c r="IA54" i="2"/>
  <c r="ID53" i="2"/>
  <c r="IE54" i="2"/>
  <c r="IH53" i="2"/>
  <c r="II54" i="2"/>
  <c r="IL53" i="2"/>
  <c r="IM54" i="2"/>
  <c r="IP53" i="2"/>
  <c r="IQ54" i="2"/>
  <c r="IT53" i="2"/>
  <c r="IU54" i="2"/>
  <c r="FW54" i="2"/>
  <c r="GE53" i="2"/>
  <c r="GK53" i="2"/>
  <c r="GL54" i="2"/>
  <c r="GO53" i="2"/>
  <c r="GP54" i="2"/>
  <c r="GS53" i="2"/>
  <c r="GT54" i="2"/>
  <c r="GW53" i="2"/>
  <c r="GX54" i="2"/>
  <c r="HA53" i="2"/>
  <c r="HB54" i="2"/>
  <c r="HE53" i="2"/>
  <c r="HF54" i="2"/>
  <c r="HI53" i="2"/>
  <c r="HJ54" i="2"/>
  <c r="HM53" i="2"/>
  <c r="HN54" i="2"/>
  <c r="HQ53" i="2"/>
  <c r="HR54" i="2"/>
  <c r="HU53" i="2"/>
  <c r="HV54" i="2"/>
  <c r="HY53" i="2"/>
  <c r="HZ54" i="2"/>
  <c r="IC53" i="2"/>
  <c r="ID54" i="2"/>
  <c r="IG53" i="2"/>
  <c r="IH54" i="2"/>
  <c r="IK53" i="2"/>
  <c r="IL54" i="2"/>
  <c r="IO53" i="2"/>
  <c r="IP54" i="2"/>
  <c r="IS53" i="2"/>
  <c r="IT54" i="2"/>
  <c r="GH54" i="2"/>
  <c r="GI53" i="2"/>
  <c r="GM53" i="2"/>
  <c r="GN54" i="2"/>
  <c r="GQ53" i="2"/>
  <c r="GR54" i="2"/>
  <c r="GU53" i="2"/>
  <c r="GV54" i="2"/>
  <c r="GY53" i="2"/>
  <c r="GZ54" i="2"/>
  <c r="HC53" i="2"/>
  <c r="HD54" i="2"/>
  <c r="HG53" i="2"/>
  <c r="HH54" i="2"/>
  <c r="HK53" i="2"/>
  <c r="HL54" i="2"/>
  <c r="HO53" i="2"/>
  <c r="HP54" i="2"/>
  <c r="HS53" i="2"/>
  <c r="HT54" i="2"/>
  <c r="HW53" i="2"/>
  <c r="HX54" i="2"/>
  <c r="IA53" i="2"/>
  <c r="IB54" i="2"/>
  <c r="IE53" i="2"/>
  <c r="IF54" i="2"/>
  <c r="II53" i="2"/>
  <c r="IJ54" i="2"/>
  <c r="IM53" i="2"/>
  <c r="IN54" i="2"/>
  <c r="IQ53" i="2"/>
  <c r="IR54" i="2"/>
  <c r="FS54" i="2"/>
  <c r="IV54" i="2"/>
  <c r="IW53" i="2"/>
  <c r="IX54" i="2"/>
  <c r="JA53" i="2"/>
  <c r="JB54" i="2"/>
  <c r="JE53" i="2"/>
  <c r="JF54" i="2"/>
  <c r="JI53" i="2"/>
  <c r="JJ54" i="2"/>
  <c r="JM53" i="2"/>
  <c r="JN54" i="2"/>
  <c r="JQ53" i="2"/>
  <c r="JR54" i="2"/>
  <c r="JU53" i="2"/>
  <c r="JV54" i="2"/>
  <c r="JY53" i="2"/>
  <c r="JZ54" i="2"/>
  <c r="KC53" i="2"/>
  <c r="KD54" i="2"/>
  <c r="KG53" i="2"/>
  <c r="KH54" i="2"/>
  <c r="KK53" i="2"/>
  <c r="KL54" i="2"/>
  <c r="KO53" i="2"/>
  <c r="KP54" i="2"/>
  <c r="KS53" i="2"/>
  <c r="KT54" i="2"/>
  <c r="GN53" i="2"/>
  <c r="GO54" i="2"/>
  <c r="GV53" i="2"/>
  <c r="GW54" i="2"/>
  <c r="HD53" i="2"/>
  <c r="HE54" i="2"/>
  <c r="HL53" i="2"/>
  <c r="HM54" i="2"/>
  <c r="HT53" i="2"/>
  <c r="HU54" i="2"/>
  <c r="IB53" i="2"/>
  <c r="IC54" i="2"/>
  <c r="IJ53" i="2"/>
  <c r="IK54" i="2"/>
  <c r="IR53" i="2"/>
  <c r="IS54" i="2"/>
  <c r="IW54" i="2"/>
  <c r="GE54" i="2"/>
  <c r="GH53" i="2"/>
  <c r="IY53" i="2"/>
  <c r="IZ54" i="2"/>
  <c r="JC53" i="2"/>
  <c r="JD54" i="2"/>
  <c r="JG53" i="2"/>
  <c r="JH54" i="2"/>
  <c r="JK53" i="2"/>
  <c r="JL54" i="2"/>
  <c r="JO53" i="2"/>
  <c r="JP54" i="2"/>
  <c r="JS53" i="2"/>
  <c r="JT54" i="2"/>
  <c r="JW53" i="2"/>
  <c r="JX54" i="2"/>
  <c r="KA53" i="2"/>
  <c r="KB54" i="2"/>
  <c r="KE53" i="2"/>
  <c r="KF54" i="2"/>
  <c r="KI53" i="2"/>
  <c r="KJ54" i="2"/>
  <c r="KM53" i="2"/>
  <c r="KN54" i="2"/>
  <c r="KQ53" i="2"/>
  <c r="KR54" i="2"/>
  <c r="KU53" i="2"/>
  <c r="KV54" i="2"/>
  <c r="GG53" i="2"/>
  <c r="GK54" i="2"/>
  <c r="GR53" i="2"/>
  <c r="GS54" i="2"/>
  <c r="GZ53" i="2"/>
  <c r="HA54" i="2"/>
  <c r="HH53" i="2"/>
  <c r="HI54" i="2"/>
  <c r="HP53" i="2"/>
  <c r="HQ54" i="2"/>
  <c r="HX53" i="2"/>
  <c r="HY54" i="2"/>
  <c r="IF53" i="2"/>
  <c r="IG54" i="2"/>
  <c r="IN53" i="2"/>
  <c r="IO54" i="2"/>
  <c r="IU53" i="2"/>
  <c r="IV53" i="2"/>
  <c r="IX53" i="2"/>
  <c r="IY54" i="2"/>
  <c r="JB53" i="2"/>
  <c r="JC54" i="2"/>
  <c r="JF53" i="2"/>
  <c r="JG54" i="2"/>
  <c r="JJ53" i="2"/>
  <c r="JK54" i="2"/>
  <c r="JN53" i="2"/>
  <c r="JO54" i="2"/>
  <c r="JR53" i="2"/>
  <c r="JS54" i="2"/>
  <c r="JV53" i="2"/>
  <c r="JW54" i="2"/>
  <c r="JZ53" i="2"/>
  <c r="KA54" i="2"/>
  <c r="JD53" i="2"/>
  <c r="JE54" i="2"/>
  <c r="JL53" i="2"/>
  <c r="JM54" i="2"/>
  <c r="JT53" i="2"/>
  <c r="JU54" i="2"/>
  <c r="KB53" i="2"/>
  <c r="KC54" i="2"/>
  <c r="KE54" i="2"/>
  <c r="KG54" i="2"/>
  <c r="KI54" i="2"/>
  <c r="KK54" i="2"/>
  <c r="KM54" i="2"/>
  <c r="KO54" i="2"/>
  <c r="KQ54" i="2"/>
  <c r="KS54" i="2"/>
  <c r="KU54" i="2"/>
  <c r="KW53" i="2"/>
  <c r="KX54" i="2"/>
  <c r="LA53" i="2"/>
  <c r="LB54" i="2"/>
  <c r="LE53" i="2"/>
  <c r="LF54" i="2"/>
  <c r="LI53" i="2"/>
  <c r="LJ54" i="2"/>
  <c r="LM53" i="2"/>
  <c r="LN54" i="2"/>
  <c r="LQ53" i="2"/>
  <c r="LR54" i="2"/>
  <c r="LU53" i="2"/>
  <c r="LV54" i="2"/>
  <c r="LY53" i="2"/>
  <c r="LZ54" i="2"/>
  <c r="MC53" i="2"/>
  <c r="MD54" i="2"/>
  <c r="MG53" i="2"/>
  <c r="MH54" i="2"/>
  <c r="MK53" i="2"/>
  <c r="ML54" i="2"/>
  <c r="MO53" i="2"/>
  <c r="MP54" i="2"/>
  <c r="MS53" i="2"/>
  <c r="MT54" i="2"/>
  <c r="MW53" i="2"/>
  <c r="MX54" i="2"/>
  <c r="NA53" i="2"/>
  <c r="NB54" i="2"/>
  <c r="NE53" i="2"/>
  <c r="NF54" i="2"/>
  <c r="NI53" i="2"/>
  <c r="NJ54" i="2"/>
  <c r="NM53" i="2"/>
  <c r="NN54" i="2"/>
  <c r="NQ53" i="2"/>
  <c r="NR54" i="2"/>
  <c r="NU53" i="2"/>
  <c r="NV54" i="2"/>
  <c r="NY53" i="2"/>
  <c r="NZ54" i="2"/>
  <c r="OC53" i="2"/>
  <c r="OD54" i="2"/>
  <c r="OG53" i="2"/>
  <c r="OH54" i="2"/>
  <c r="OK53" i="2"/>
  <c r="OL54" i="2"/>
  <c r="OO53" i="2"/>
  <c r="OP54" i="2"/>
  <c r="OS53" i="2"/>
  <c r="OT54" i="2"/>
  <c r="OW53" i="2"/>
  <c r="OX54" i="2"/>
  <c r="PA53" i="2"/>
  <c r="PB54" i="2"/>
  <c r="KW54" i="2"/>
  <c r="KZ53" i="2"/>
  <c r="LA54" i="2"/>
  <c r="LD53" i="2"/>
  <c r="LE54" i="2"/>
  <c r="LH53" i="2"/>
  <c r="LI54" i="2"/>
  <c r="LL53" i="2"/>
  <c r="LM54" i="2"/>
  <c r="LP53" i="2"/>
  <c r="LQ54" i="2"/>
  <c r="LT53" i="2"/>
  <c r="LU54" i="2"/>
  <c r="LX53" i="2"/>
  <c r="LY54" i="2"/>
  <c r="MB53" i="2"/>
  <c r="MC54" i="2"/>
  <c r="MF53" i="2"/>
  <c r="MG54" i="2"/>
  <c r="MJ53" i="2"/>
  <c r="MK54" i="2"/>
  <c r="MN53" i="2"/>
  <c r="MO54" i="2"/>
  <c r="MR53" i="2"/>
  <c r="MS54" i="2"/>
  <c r="MV53" i="2"/>
  <c r="MW54" i="2"/>
  <c r="MZ53" i="2"/>
  <c r="NA54" i="2"/>
  <c r="ND53" i="2"/>
  <c r="NE54" i="2"/>
  <c r="NH53" i="2"/>
  <c r="NI54" i="2"/>
  <c r="NL53" i="2"/>
  <c r="NM54" i="2"/>
  <c r="NP53" i="2"/>
  <c r="NQ54" i="2"/>
  <c r="NT53" i="2"/>
  <c r="NU54" i="2"/>
  <c r="NX53" i="2"/>
  <c r="NY54" i="2"/>
  <c r="OB53" i="2"/>
  <c r="OC54" i="2"/>
  <c r="OF53" i="2"/>
  <c r="OG54" i="2"/>
  <c r="OJ53" i="2"/>
  <c r="OK54" i="2"/>
  <c r="ON53" i="2"/>
  <c r="OO54" i="2"/>
  <c r="OR53" i="2"/>
  <c r="OS54" i="2"/>
  <c r="OV53" i="2"/>
  <c r="OW54" i="2"/>
  <c r="OZ53" i="2"/>
  <c r="PA54" i="2"/>
  <c r="PD53" i="2"/>
  <c r="PE54" i="2"/>
  <c r="PH53" i="2"/>
  <c r="PI54" i="2"/>
  <c r="PL53" i="2"/>
  <c r="PM54" i="2"/>
  <c r="IZ53" i="2"/>
  <c r="JA54" i="2"/>
  <c r="JH53" i="2"/>
  <c r="JI54" i="2"/>
  <c r="JP53" i="2"/>
  <c r="JQ54" i="2"/>
  <c r="JX53" i="2"/>
  <c r="JY54" i="2"/>
  <c r="KD53" i="2"/>
  <c r="KF53" i="2"/>
  <c r="KH53" i="2"/>
  <c r="KJ53" i="2"/>
  <c r="KL53" i="2"/>
  <c r="KN53" i="2"/>
  <c r="KP53" i="2"/>
  <c r="KR53" i="2"/>
  <c r="KT53" i="2"/>
  <c r="KV53" i="2"/>
  <c r="KY53" i="2"/>
  <c r="KZ54" i="2"/>
  <c r="LC53" i="2"/>
  <c r="LD54" i="2"/>
  <c r="LG53" i="2"/>
  <c r="LH54" i="2"/>
  <c r="LK53" i="2"/>
  <c r="LL54" i="2"/>
  <c r="LO53" i="2"/>
  <c r="LP54" i="2"/>
  <c r="LS53" i="2"/>
  <c r="LT54" i="2"/>
  <c r="LW53" i="2"/>
  <c r="LX54" i="2"/>
  <c r="MA53" i="2"/>
  <c r="MB54" i="2"/>
  <c r="ME53" i="2"/>
  <c r="MF54" i="2"/>
  <c r="MI53" i="2"/>
  <c r="MJ54" i="2"/>
  <c r="MM53" i="2"/>
  <c r="MN54" i="2"/>
  <c r="MQ53" i="2"/>
  <c r="MR54" i="2"/>
  <c r="MU53" i="2"/>
  <c r="MV54" i="2"/>
  <c r="MY53" i="2"/>
  <c r="MZ54" i="2"/>
  <c r="NC53" i="2"/>
  <c r="ND54" i="2"/>
  <c r="NG53" i="2"/>
  <c r="NH54" i="2"/>
  <c r="NK53" i="2"/>
  <c r="NL54" i="2"/>
  <c r="NO53" i="2"/>
  <c r="NP54" i="2"/>
  <c r="NS53" i="2"/>
  <c r="NT54" i="2"/>
  <c r="NW53" i="2"/>
  <c r="NX54" i="2"/>
  <c r="OA53" i="2"/>
  <c r="OB54" i="2"/>
  <c r="OE53" i="2"/>
  <c r="OF54" i="2"/>
  <c r="OI53" i="2"/>
  <c r="OJ54" i="2"/>
  <c r="OM53" i="2"/>
  <c r="ON54" i="2"/>
  <c r="OQ53" i="2"/>
  <c r="OR54" i="2"/>
  <c r="OU53" i="2"/>
  <c r="OV54" i="2"/>
  <c r="OY53" i="2"/>
  <c r="OZ54" i="2"/>
  <c r="KX53" i="2"/>
  <c r="KY54" i="2"/>
  <c r="LB53" i="2"/>
  <c r="LC54" i="2"/>
  <c r="LF53" i="2"/>
  <c r="LG54" i="2"/>
  <c r="LJ53" i="2"/>
  <c r="LK54" i="2"/>
  <c r="LN53" i="2"/>
  <c r="LO54" i="2"/>
  <c r="LR53" i="2"/>
  <c r="LS54" i="2"/>
  <c r="LV53" i="2"/>
  <c r="LW54" i="2"/>
  <c r="LZ53" i="2"/>
  <c r="MA54" i="2"/>
  <c r="MD53" i="2"/>
  <c r="ME54" i="2"/>
  <c r="MH53" i="2"/>
  <c r="MI54" i="2"/>
  <c r="ML53" i="2"/>
  <c r="MM54" i="2"/>
  <c r="MP53" i="2"/>
  <c r="MQ54" i="2"/>
  <c r="MT53" i="2"/>
  <c r="MU54" i="2"/>
  <c r="MX53" i="2"/>
  <c r="MY54" i="2"/>
  <c r="NB53" i="2"/>
  <c r="NC54" i="2"/>
  <c r="NF53" i="2"/>
  <c r="NG54" i="2"/>
  <c r="NJ53" i="2"/>
  <c r="NK54" i="2"/>
  <c r="NN53" i="2"/>
  <c r="NO54" i="2"/>
  <c r="NR53" i="2"/>
  <c r="NS54" i="2"/>
  <c r="NV53" i="2"/>
  <c r="NW54" i="2"/>
  <c r="NZ53" i="2"/>
  <c r="OA54" i="2"/>
  <c r="OD53" i="2"/>
  <c r="OE54" i="2"/>
  <c r="OH53" i="2"/>
  <c r="OI54" i="2"/>
  <c r="OL53" i="2"/>
  <c r="OM54" i="2"/>
  <c r="OP53" i="2"/>
  <c r="OQ54" i="2"/>
  <c r="OX53" i="2"/>
  <c r="OY54" i="2"/>
  <c r="PC53" i="2"/>
  <c r="PJ54" i="2"/>
  <c r="PK53" i="2"/>
  <c r="PO54" i="2"/>
  <c r="PR53" i="2"/>
  <c r="PS54" i="2"/>
  <c r="PV53" i="2"/>
  <c r="PW54" i="2"/>
  <c r="PZ53" i="2"/>
  <c r="QA54" i="2"/>
  <c r="QD53" i="2"/>
  <c r="QE54" i="2"/>
  <c r="QH53" i="2"/>
  <c r="QI54" i="2"/>
  <c r="QL53" i="2"/>
  <c r="QM54" i="2"/>
  <c r="QP53" i="2"/>
  <c r="QQ54" i="2"/>
  <c r="QT53" i="2"/>
  <c r="QU54" i="2"/>
  <c r="QX53" i="2"/>
  <c r="QY54" i="2"/>
  <c r="RB53" i="2"/>
  <c r="RC54" i="2"/>
  <c r="RF53" i="2"/>
  <c r="RG54" i="2"/>
  <c r="RJ53" i="2"/>
  <c r="RK54" i="2"/>
  <c r="RN53" i="2"/>
  <c r="RO54" i="2"/>
  <c r="RR53" i="2"/>
  <c r="RS54" i="2"/>
  <c r="RV53" i="2"/>
  <c r="RW54" i="2"/>
  <c r="RZ53" i="2"/>
  <c r="SA54" i="2"/>
  <c r="SD53" i="2"/>
  <c r="SE54" i="2"/>
  <c r="SH53" i="2"/>
  <c r="SI54" i="2"/>
  <c r="SL53" i="2"/>
  <c r="SM54" i="2"/>
  <c r="SP53" i="2"/>
  <c r="SQ54" i="2"/>
  <c r="ST53" i="2"/>
  <c r="SU54" i="2"/>
  <c r="SX53" i="2"/>
  <c r="SY54" i="2"/>
  <c r="TB53" i="2"/>
  <c r="TC54" i="2"/>
  <c r="TF53" i="2"/>
  <c r="TG54" i="2"/>
  <c r="TJ53" i="2"/>
  <c r="TK54" i="2"/>
  <c r="TN53" i="2"/>
  <c r="TO54" i="2"/>
  <c r="PC54" i="2"/>
  <c r="PD54" i="2"/>
  <c r="PE53" i="2"/>
  <c r="PF53" i="2"/>
  <c r="PK54" i="2"/>
  <c r="PL54" i="2"/>
  <c r="PM53" i="2"/>
  <c r="PN53" i="2"/>
  <c r="PQ53" i="2"/>
  <c r="PR54" i="2"/>
  <c r="PU53" i="2"/>
  <c r="PV54" i="2"/>
  <c r="PY53" i="2"/>
  <c r="PZ54" i="2"/>
  <c r="QC53" i="2"/>
  <c r="QD54" i="2"/>
  <c r="QG53" i="2"/>
  <c r="QH54" i="2"/>
  <c r="QK53" i="2"/>
  <c r="QL54" i="2"/>
  <c r="QO53" i="2"/>
  <c r="QP54" i="2"/>
  <c r="QS53" i="2"/>
  <c r="QT54" i="2"/>
  <c r="QW53" i="2"/>
  <c r="QX54" i="2"/>
  <c r="RA53" i="2"/>
  <c r="RB54" i="2"/>
  <c r="RE53" i="2"/>
  <c r="RF54" i="2"/>
  <c r="RI53" i="2"/>
  <c r="RJ54" i="2"/>
  <c r="RM53" i="2"/>
  <c r="RN54" i="2"/>
  <c r="RQ53" i="2"/>
  <c r="RR54" i="2"/>
  <c r="RU53" i="2"/>
  <c r="RV54" i="2"/>
  <c r="RY53" i="2"/>
  <c r="RZ54" i="2"/>
  <c r="SC53" i="2"/>
  <c r="SD54" i="2"/>
  <c r="SG53" i="2"/>
  <c r="SH54" i="2"/>
  <c r="SK53" i="2"/>
  <c r="SL54" i="2"/>
  <c r="SO53" i="2"/>
  <c r="SP54" i="2"/>
  <c r="SS53" i="2"/>
  <c r="ST54" i="2"/>
  <c r="SW53" i="2"/>
  <c r="SX54" i="2"/>
  <c r="TA53" i="2"/>
  <c r="TB54" i="2"/>
  <c r="TE53" i="2"/>
  <c r="TF54" i="2"/>
  <c r="TI53" i="2"/>
  <c r="TJ54" i="2"/>
  <c r="TM53" i="2"/>
  <c r="TN54" i="2"/>
  <c r="TQ53" i="2"/>
  <c r="TR54" i="2"/>
  <c r="TU53" i="2"/>
  <c r="TV54" i="2"/>
  <c r="OT53" i="2"/>
  <c r="OU54" i="2"/>
  <c r="PB53" i="2"/>
  <c r="PF54" i="2"/>
  <c r="PG53" i="2"/>
  <c r="PN54" i="2"/>
  <c r="PP53" i="2"/>
  <c r="PQ54" i="2"/>
  <c r="PT53" i="2"/>
  <c r="PU54" i="2"/>
  <c r="PX53" i="2"/>
  <c r="PY54" i="2"/>
  <c r="QB53" i="2"/>
  <c r="QC54" i="2"/>
  <c r="QF53" i="2"/>
  <c r="QG54" i="2"/>
  <c r="QJ53" i="2"/>
  <c r="QK54" i="2"/>
  <c r="QN53" i="2"/>
  <c r="QO54" i="2"/>
  <c r="QR53" i="2"/>
  <c r="QS54" i="2"/>
  <c r="QV53" i="2"/>
  <c r="QW54" i="2"/>
  <c r="QZ53" i="2"/>
  <c r="RA54" i="2"/>
  <c r="RD53" i="2"/>
  <c r="RE54" i="2"/>
  <c r="RH53" i="2"/>
  <c r="RI54" i="2"/>
  <c r="RL53" i="2"/>
  <c r="RM54" i="2"/>
  <c r="RP53" i="2"/>
  <c r="RQ54" i="2"/>
  <c r="RT53" i="2"/>
  <c r="RU54" i="2"/>
  <c r="RX53" i="2"/>
  <c r="RY54" i="2"/>
  <c r="SB53" i="2"/>
  <c r="SC54" i="2"/>
  <c r="SF53" i="2"/>
  <c r="SG54" i="2"/>
  <c r="SJ53" i="2"/>
  <c r="SK54" i="2"/>
  <c r="SN53" i="2"/>
  <c r="SO54" i="2"/>
  <c r="SR53" i="2"/>
  <c r="SS54" i="2"/>
  <c r="SV53" i="2"/>
  <c r="SW54" i="2"/>
  <c r="SZ53" i="2"/>
  <c r="TA54" i="2"/>
  <c r="TD53" i="2"/>
  <c r="TE54" i="2"/>
  <c r="TH53" i="2"/>
  <c r="TI54" i="2"/>
  <c r="TL53" i="2"/>
  <c r="TM54" i="2"/>
  <c r="TP53" i="2"/>
  <c r="TQ54" i="2"/>
  <c r="TT53" i="2"/>
  <c r="TU54" i="2"/>
  <c r="TX53" i="2"/>
  <c r="TY54" i="2"/>
  <c r="PG54" i="2"/>
  <c r="PH54" i="2"/>
  <c r="PI53" i="2"/>
  <c r="PJ53" i="2"/>
  <c r="PO53" i="2"/>
  <c r="PP54" i="2"/>
  <c r="PS53" i="2"/>
  <c r="PT54" i="2"/>
  <c r="PW53" i="2"/>
  <c r="PX54" i="2"/>
  <c r="QA53" i="2"/>
  <c r="QB54" i="2"/>
  <c r="QE53" i="2"/>
  <c r="QF54" i="2"/>
  <c r="QI53" i="2"/>
  <c r="QJ54" i="2"/>
  <c r="QM53" i="2"/>
  <c r="QN54" i="2"/>
  <c r="QQ53" i="2"/>
  <c r="QR54" i="2"/>
  <c r="QU53" i="2"/>
  <c r="QV54" i="2"/>
  <c r="QY53" i="2"/>
  <c r="QZ54" i="2"/>
  <c r="RC53" i="2"/>
  <c r="RD54" i="2"/>
  <c r="RG53" i="2"/>
  <c r="RH54" i="2"/>
  <c r="RK53" i="2"/>
  <c r="RL54" i="2"/>
  <c r="RO53" i="2"/>
  <c r="RP54" i="2"/>
  <c r="RS53" i="2"/>
  <c r="RT54" i="2"/>
  <c r="RW53" i="2"/>
  <c r="RX54" i="2"/>
  <c r="SA53" i="2"/>
  <c r="SB54" i="2"/>
  <c r="SE53" i="2"/>
  <c r="SF54" i="2"/>
  <c r="SI53" i="2"/>
  <c r="SJ54" i="2"/>
  <c r="SM53" i="2"/>
  <c r="SN54" i="2"/>
  <c r="SQ53" i="2"/>
  <c r="SR54" i="2"/>
  <c r="SU53" i="2"/>
  <c r="SV54" i="2"/>
  <c r="SY53" i="2"/>
  <c r="SZ54" i="2"/>
  <c r="TC53" i="2"/>
  <c r="TD54" i="2"/>
  <c r="TG53" i="2"/>
  <c r="TH54" i="2"/>
  <c r="TK53" i="2"/>
  <c r="TL54" i="2"/>
  <c r="TO53" i="2"/>
  <c r="TP54" i="2"/>
  <c r="TS53" i="2"/>
  <c r="TT54" i="2"/>
  <c r="TW53" i="2"/>
  <c r="TX54" i="2"/>
  <c r="UA53" i="2"/>
  <c r="UB54" i="2"/>
  <c r="UE53" i="2"/>
  <c r="UF54" i="2"/>
  <c r="UI53" i="2"/>
  <c r="TR53" i="2"/>
  <c r="TS54" i="2"/>
  <c r="UG54" i="2"/>
  <c r="UH53" i="2"/>
  <c r="UL53" i="2"/>
  <c r="UM54" i="2"/>
  <c r="UP53" i="2"/>
  <c r="UQ54" i="2"/>
  <c r="UT53" i="2"/>
  <c r="UU54" i="2"/>
  <c r="UX53" i="2"/>
  <c r="UY54" i="2"/>
  <c r="VB53" i="2"/>
  <c r="VC54" i="2"/>
  <c r="VF53" i="2"/>
  <c r="VG54" i="2"/>
  <c r="VJ53" i="2"/>
  <c r="VK54" i="2"/>
  <c r="VN53" i="2"/>
  <c r="VO54" i="2"/>
  <c r="VR53" i="2"/>
  <c r="VS54" i="2"/>
  <c r="VV53" i="2"/>
  <c r="VW54" i="2"/>
  <c r="VZ53" i="2"/>
  <c r="WA54" i="2"/>
  <c r="WD53" i="2"/>
  <c r="WE54" i="2"/>
  <c r="WH53" i="2"/>
  <c r="WI54" i="2"/>
  <c r="WL53" i="2"/>
  <c r="WM54" i="2"/>
  <c r="TZ53" i="2"/>
  <c r="UA54" i="2"/>
  <c r="UB53" i="2"/>
  <c r="UC53" i="2"/>
  <c r="UH54" i="2"/>
  <c r="UI54" i="2"/>
  <c r="UK53" i="2"/>
  <c r="UL54" i="2"/>
  <c r="UO53" i="2"/>
  <c r="UP54" i="2"/>
  <c r="US53" i="2"/>
  <c r="UT54" i="2"/>
  <c r="UW53" i="2"/>
  <c r="UX54" i="2"/>
  <c r="VA53" i="2"/>
  <c r="VB54" i="2"/>
  <c r="VE53" i="2"/>
  <c r="VF54" i="2"/>
  <c r="VI53" i="2"/>
  <c r="VJ54" i="2"/>
  <c r="VM53" i="2"/>
  <c r="VN54" i="2"/>
  <c r="VQ53" i="2"/>
  <c r="VR54" i="2"/>
  <c r="VU53" i="2"/>
  <c r="VV54" i="2"/>
  <c r="VY53" i="2"/>
  <c r="VZ54" i="2"/>
  <c r="WC53" i="2"/>
  <c r="WD54" i="2"/>
  <c r="WG53" i="2"/>
  <c r="WH54" i="2"/>
  <c r="WK53" i="2"/>
  <c r="WL54" i="2"/>
  <c r="TV53" i="2"/>
  <c r="TW54" i="2"/>
  <c r="TZ54" i="2"/>
  <c r="UC54" i="2"/>
  <c r="UD53" i="2"/>
  <c r="UJ53" i="2"/>
  <c r="UK54" i="2"/>
  <c r="UN53" i="2"/>
  <c r="UO54" i="2"/>
  <c r="UR53" i="2"/>
  <c r="US54" i="2"/>
  <c r="UV53" i="2"/>
  <c r="UW54" i="2"/>
  <c r="UZ53" i="2"/>
  <c r="VA54" i="2"/>
  <c r="VD53" i="2"/>
  <c r="VE54" i="2"/>
  <c r="VH53" i="2"/>
  <c r="VI54" i="2"/>
  <c r="VL53" i="2"/>
  <c r="VM54" i="2"/>
  <c r="VP53" i="2"/>
  <c r="VQ54" i="2"/>
  <c r="VT53" i="2"/>
  <c r="VU54" i="2"/>
  <c r="VX53" i="2"/>
  <c r="VY54" i="2"/>
  <c r="WB53" i="2"/>
  <c r="WC54" i="2"/>
  <c r="WF53" i="2"/>
  <c r="WG54" i="2"/>
  <c r="WJ53" i="2"/>
  <c r="WK54" i="2"/>
  <c r="WN53" i="2"/>
  <c r="TY53" i="2"/>
  <c r="UD54" i="2"/>
  <c r="UE54" i="2"/>
  <c r="UF53" i="2"/>
  <c r="UG53" i="2"/>
  <c r="UJ54" i="2"/>
  <c r="UM53" i="2"/>
  <c r="UN54" i="2"/>
  <c r="UQ53" i="2"/>
  <c r="UR54" i="2"/>
  <c r="UU53" i="2"/>
  <c r="UV54" i="2"/>
  <c r="UY53" i="2"/>
  <c r="UZ54" i="2"/>
  <c r="VC53" i="2"/>
  <c r="VD54" i="2"/>
  <c r="VG53" i="2"/>
  <c r="VH54" i="2"/>
  <c r="VK53" i="2"/>
  <c r="VL54" i="2"/>
  <c r="VO53" i="2"/>
  <c r="VP54" i="2"/>
  <c r="VS53" i="2"/>
  <c r="VT54" i="2"/>
  <c r="VW53" i="2"/>
  <c r="VX54" i="2"/>
  <c r="WA53" i="2"/>
  <c r="WB54" i="2"/>
  <c r="WE53" i="2"/>
  <c r="WF54" i="2"/>
  <c r="WI53" i="2"/>
  <c r="WJ54" i="2"/>
  <c r="WM53" i="2"/>
  <c r="WN54" i="2"/>
  <c r="AX37" i="2"/>
  <c r="AY37" i="2"/>
  <c r="AH37" i="2"/>
  <c r="AI37" i="2"/>
  <c r="FN37" i="2"/>
  <c r="FM37" i="2"/>
  <c r="JF37" i="2"/>
  <c r="CJ37" i="2"/>
  <c r="AO37" i="2"/>
  <c r="BZ37" i="2"/>
  <c r="CN37" i="2"/>
  <c r="BJ37" i="2"/>
  <c r="O49" i="2"/>
  <c r="S49" i="2"/>
  <c r="AE49" i="2"/>
  <c r="AI49" i="2"/>
  <c r="R49" i="2"/>
  <c r="V49" i="2"/>
  <c r="M49" i="2"/>
  <c r="R50" i="2"/>
  <c r="Z50" i="2"/>
  <c r="AC49" i="2"/>
  <c r="AE50" i="2"/>
  <c r="AH49" i="2"/>
  <c r="AO49" i="2"/>
  <c r="AP50" i="2"/>
  <c r="AT50" i="2"/>
  <c r="AW49" i="2"/>
  <c r="AX50" i="2"/>
  <c r="BB50" i="2"/>
  <c r="M50" i="2"/>
  <c r="U50" i="2"/>
  <c r="X49" i="2"/>
  <c r="AC50" i="2"/>
  <c r="AG50" i="2"/>
  <c r="AH50" i="2"/>
  <c r="AI50" i="2"/>
  <c r="AJ49" i="2"/>
  <c r="AN49" i="2"/>
  <c r="AO50" i="2"/>
  <c r="AS50" i="2"/>
  <c r="AV49" i="2"/>
  <c r="AW50" i="2"/>
  <c r="BA50" i="2"/>
  <c r="BD49" i="2"/>
  <c r="BE50" i="2"/>
  <c r="C49" i="2"/>
  <c r="J49" i="2"/>
  <c r="N50" i="2"/>
  <c r="Q49" i="2"/>
  <c r="K50" i="2"/>
  <c r="Y50" i="2"/>
  <c r="AK50" i="2"/>
  <c r="AL50" i="2"/>
  <c r="AM49" i="2"/>
  <c r="AQ49" i="2"/>
  <c r="AY49" i="2"/>
  <c r="BC49" i="2"/>
  <c r="BG50" i="2"/>
  <c r="BJ50" i="2"/>
  <c r="BM49" i="2"/>
  <c r="BN50" i="2"/>
  <c r="AB49" i="2"/>
  <c r="AM50" i="2"/>
  <c r="AQ50" i="2"/>
  <c r="AU50" i="2"/>
  <c r="AY50" i="2"/>
  <c r="BC50" i="2"/>
  <c r="BH49" i="2"/>
  <c r="BI50" i="2"/>
  <c r="BL49" i="2"/>
  <c r="BM50" i="2"/>
  <c r="Q50" i="2"/>
  <c r="V50" i="2"/>
  <c r="AD50" i="2"/>
  <c r="AP49" i="2"/>
  <c r="AT49" i="2"/>
  <c r="BB49" i="2"/>
  <c r="BE49" i="2"/>
  <c r="BF49" i="2"/>
  <c r="BH50" i="2"/>
  <c r="BK49" i="2"/>
  <c r="BL50" i="2"/>
  <c r="BO49" i="2"/>
  <c r="BP50" i="2"/>
  <c r="BS49" i="2"/>
  <c r="BT50" i="2"/>
  <c r="BW49" i="2"/>
  <c r="AN50" i="2"/>
  <c r="AR50" i="2"/>
  <c r="AV50" i="2"/>
  <c r="AZ50" i="2"/>
  <c r="BD50" i="2"/>
  <c r="BF50" i="2"/>
  <c r="BG49" i="2"/>
  <c r="BQ50" i="2"/>
  <c r="BR49" i="2"/>
  <c r="BX50" i="2"/>
  <c r="CB50" i="2"/>
  <c r="CE49" i="2"/>
  <c r="CF50" i="2"/>
  <c r="CJ50" i="2"/>
  <c r="CM49" i="2"/>
  <c r="CN50" i="2"/>
  <c r="CR50" i="2"/>
  <c r="CU49" i="2"/>
  <c r="CV50" i="2"/>
  <c r="CY49" i="2"/>
  <c r="CZ50" i="2"/>
  <c r="DC49" i="2"/>
  <c r="DD50" i="2"/>
  <c r="DG49" i="2"/>
  <c r="DH50" i="2"/>
  <c r="BN49" i="2"/>
  <c r="BR50" i="2"/>
  <c r="BS50" i="2"/>
  <c r="BT49" i="2"/>
  <c r="BU49" i="2"/>
  <c r="BZ49" i="2"/>
  <c r="CA50" i="2"/>
  <c r="CD49" i="2"/>
  <c r="CE50" i="2"/>
  <c r="CH49" i="2"/>
  <c r="CI50" i="2"/>
  <c r="CL49" i="2"/>
  <c r="CM50" i="2"/>
  <c r="CP49" i="2"/>
  <c r="CQ50" i="2"/>
  <c r="CT49" i="2"/>
  <c r="CU50" i="2"/>
  <c r="CX49" i="2"/>
  <c r="CY50" i="2"/>
  <c r="DB49" i="2"/>
  <c r="DC50" i="2"/>
  <c r="DF49" i="2"/>
  <c r="DG50" i="2"/>
  <c r="DJ49" i="2"/>
  <c r="DK50" i="2"/>
  <c r="DN49" i="2"/>
  <c r="DO50" i="2"/>
  <c r="DR49" i="2"/>
  <c r="DS50" i="2"/>
  <c r="DV49" i="2"/>
  <c r="DW50" i="2"/>
  <c r="DZ49" i="2"/>
  <c r="EA50" i="2"/>
  <c r="ED49" i="2"/>
  <c r="EE50" i="2"/>
  <c r="BK50" i="2"/>
  <c r="BU50" i="2"/>
  <c r="BV49" i="2"/>
  <c r="BY49" i="2"/>
  <c r="BZ50" i="2"/>
  <c r="CC49" i="2"/>
  <c r="CD50" i="2"/>
  <c r="CG49" i="2"/>
  <c r="CH50" i="2"/>
  <c r="CK49" i="2"/>
  <c r="CL50" i="2"/>
  <c r="CO49" i="2"/>
  <c r="CP50" i="2"/>
  <c r="CS49" i="2"/>
  <c r="CT50" i="2"/>
  <c r="CW49" i="2"/>
  <c r="CX50" i="2"/>
  <c r="DA49" i="2"/>
  <c r="DB50" i="2"/>
  <c r="DE49" i="2"/>
  <c r="DF50" i="2"/>
  <c r="DI49" i="2"/>
  <c r="DJ50" i="2"/>
  <c r="DM49" i="2"/>
  <c r="DN50" i="2"/>
  <c r="DQ49" i="2"/>
  <c r="DR50" i="2"/>
  <c r="DU49" i="2"/>
  <c r="DV50" i="2"/>
  <c r="DY49" i="2"/>
  <c r="DZ50" i="2"/>
  <c r="BP49" i="2"/>
  <c r="BX49" i="2"/>
  <c r="BY50" i="2"/>
  <c r="CF49" i="2"/>
  <c r="CG50" i="2"/>
  <c r="CN49" i="2"/>
  <c r="CO50" i="2"/>
  <c r="CV49" i="2"/>
  <c r="CW50" i="2"/>
  <c r="DD49" i="2"/>
  <c r="DE50" i="2"/>
  <c r="DL49" i="2"/>
  <c r="DP49" i="2"/>
  <c r="DT49" i="2"/>
  <c r="DX49" i="2"/>
  <c r="EB50" i="2"/>
  <c r="EC49" i="2"/>
  <c r="EH49" i="2"/>
  <c r="EI50" i="2"/>
  <c r="EL49" i="2"/>
  <c r="EM50" i="2"/>
  <c r="EP49" i="2"/>
  <c r="EQ50" i="2"/>
  <c r="ET49" i="2"/>
  <c r="EU50" i="2"/>
  <c r="EX49" i="2"/>
  <c r="EY50" i="2"/>
  <c r="FB49" i="2"/>
  <c r="FC50" i="2"/>
  <c r="FF49" i="2"/>
  <c r="FG50" i="2"/>
  <c r="FJ49" i="2"/>
  <c r="FK50" i="2"/>
  <c r="FN49" i="2"/>
  <c r="FO50" i="2"/>
  <c r="FR49" i="2"/>
  <c r="FS50" i="2"/>
  <c r="BO50" i="2"/>
  <c r="BW50" i="2"/>
  <c r="DL50" i="2"/>
  <c r="DP50" i="2"/>
  <c r="DT50" i="2"/>
  <c r="DX50" i="2"/>
  <c r="EC50" i="2"/>
  <c r="ED50" i="2"/>
  <c r="EE49" i="2"/>
  <c r="EG49" i="2"/>
  <c r="EH50" i="2"/>
  <c r="EK49" i="2"/>
  <c r="EL50" i="2"/>
  <c r="EO49" i="2"/>
  <c r="EP50" i="2"/>
  <c r="ES49" i="2"/>
  <c r="ET50" i="2"/>
  <c r="EW49" i="2"/>
  <c r="EX50" i="2"/>
  <c r="FA49" i="2"/>
  <c r="FB50" i="2"/>
  <c r="FE49" i="2"/>
  <c r="FF50" i="2"/>
  <c r="FI49" i="2"/>
  <c r="FJ50" i="2"/>
  <c r="FM49" i="2"/>
  <c r="FN50" i="2"/>
  <c r="FQ49" i="2"/>
  <c r="FR50" i="2"/>
  <c r="FU49" i="2"/>
  <c r="FV50" i="2"/>
  <c r="FY49" i="2"/>
  <c r="FZ50" i="2"/>
  <c r="GC49" i="2"/>
  <c r="GD50" i="2"/>
  <c r="BV50" i="2"/>
  <c r="CB49" i="2"/>
  <c r="CC50" i="2"/>
  <c r="CJ49" i="2"/>
  <c r="CK50" i="2"/>
  <c r="CR49" i="2"/>
  <c r="CS50" i="2"/>
  <c r="CZ49" i="2"/>
  <c r="DA50" i="2"/>
  <c r="DH49" i="2"/>
  <c r="DI50" i="2"/>
  <c r="DK49" i="2"/>
  <c r="DO49" i="2"/>
  <c r="DS49" i="2"/>
  <c r="DW49" i="2"/>
  <c r="EF49" i="2"/>
  <c r="EG50" i="2"/>
  <c r="BQ49" i="2"/>
  <c r="DM50" i="2"/>
  <c r="DQ50" i="2"/>
  <c r="DU50" i="2"/>
  <c r="DY50" i="2"/>
  <c r="EA49" i="2"/>
  <c r="EB49" i="2"/>
  <c r="EJ49" i="2"/>
  <c r="EN49" i="2"/>
  <c r="ER49" i="2"/>
  <c r="EV49" i="2"/>
  <c r="EZ49" i="2"/>
  <c r="FD49" i="2"/>
  <c r="FH49" i="2"/>
  <c r="FL49" i="2"/>
  <c r="FP49" i="2"/>
  <c r="FT49" i="2"/>
  <c r="EF50" i="2"/>
  <c r="EJ50" i="2"/>
  <c r="EN50" i="2"/>
  <c r="ER50" i="2"/>
  <c r="EV50" i="2"/>
  <c r="EZ50" i="2"/>
  <c r="FD50" i="2"/>
  <c r="FH50" i="2"/>
  <c r="FL50" i="2"/>
  <c r="FP50" i="2"/>
  <c r="EM49" i="2"/>
  <c r="EQ49" i="2"/>
  <c r="EU49" i="2"/>
  <c r="EY49" i="2"/>
  <c r="FC49" i="2"/>
  <c r="FG49" i="2"/>
  <c r="FK49" i="2"/>
  <c r="FO49" i="2"/>
  <c r="FS49" i="2"/>
  <c r="FW50" i="2"/>
  <c r="FX49" i="2"/>
  <c r="GE50" i="2"/>
  <c r="EI49" i="2"/>
  <c r="EK50" i="2"/>
  <c r="EO50" i="2"/>
  <c r="ES50" i="2"/>
  <c r="EW50" i="2"/>
  <c r="FA50" i="2"/>
  <c r="FE50" i="2"/>
  <c r="FI50" i="2"/>
  <c r="FM50" i="2"/>
  <c r="FQ50" i="2"/>
  <c r="FU50" i="2"/>
  <c r="FX50" i="2"/>
  <c r="FY50" i="2"/>
  <c r="FZ49" i="2"/>
  <c r="GA49" i="2"/>
  <c r="GG49" i="2"/>
  <c r="GH50" i="2"/>
  <c r="FV49" i="2"/>
  <c r="GB50" i="2"/>
  <c r="GG50" i="2"/>
  <c r="GH49" i="2"/>
  <c r="GI49" i="2"/>
  <c r="GM49" i="2"/>
  <c r="GN50" i="2"/>
  <c r="GQ49" i="2"/>
  <c r="GR50" i="2"/>
  <c r="GU49" i="2"/>
  <c r="GV50" i="2"/>
  <c r="GY49" i="2"/>
  <c r="GZ50" i="2"/>
  <c r="HC49" i="2"/>
  <c r="HD50" i="2"/>
  <c r="HG49" i="2"/>
  <c r="HH50" i="2"/>
  <c r="HK49" i="2"/>
  <c r="HL50" i="2"/>
  <c r="HO49" i="2"/>
  <c r="HP50" i="2"/>
  <c r="HS49" i="2"/>
  <c r="HT50" i="2"/>
  <c r="HW49" i="2"/>
  <c r="HX50" i="2"/>
  <c r="IA49" i="2"/>
  <c r="IB50" i="2"/>
  <c r="IE49" i="2"/>
  <c r="IF50" i="2"/>
  <c r="II49" i="2"/>
  <c r="IJ50" i="2"/>
  <c r="IM49" i="2"/>
  <c r="IN50" i="2"/>
  <c r="IQ49" i="2"/>
  <c r="IR50" i="2"/>
  <c r="IU49" i="2"/>
  <c r="IV50" i="2"/>
  <c r="GC50" i="2"/>
  <c r="GF49" i="2"/>
  <c r="GI50" i="2"/>
  <c r="GJ49" i="2"/>
  <c r="GL49" i="2"/>
  <c r="GM50" i="2"/>
  <c r="GP49" i="2"/>
  <c r="GQ50" i="2"/>
  <c r="GT49" i="2"/>
  <c r="GU50" i="2"/>
  <c r="GX49" i="2"/>
  <c r="GY50" i="2"/>
  <c r="HB49" i="2"/>
  <c r="HC50" i="2"/>
  <c r="HF49" i="2"/>
  <c r="HG50" i="2"/>
  <c r="HJ49" i="2"/>
  <c r="HK50" i="2"/>
  <c r="HN49" i="2"/>
  <c r="HO50" i="2"/>
  <c r="HR49" i="2"/>
  <c r="HS50" i="2"/>
  <c r="HV49" i="2"/>
  <c r="HW50" i="2"/>
  <c r="HZ49" i="2"/>
  <c r="IA50" i="2"/>
  <c r="ID49" i="2"/>
  <c r="IE50" i="2"/>
  <c r="IH49" i="2"/>
  <c r="II50" i="2"/>
  <c r="IL49" i="2"/>
  <c r="IM50" i="2"/>
  <c r="IP49" i="2"/>
  <c r="IQ50" i="2"/>
  <c r="IT49" i="2"/>
  <c r="FT50" i="2"/>
  <c r="FW49" i="2"/>
  <c r="GA50" i="2"/>
  <c r="GB49" i="2"/>
  <c r="GE49" i="2"/>
  <c r="GK50" i="2"/>
  <c r="GN49" i="2"/>
  <c r="GO50" i="2"/>
  <c r="GR49" i="2"/>
  <c r="GS50" i="2"/>
  <c r="GV49" i="2"/>
  <c r="GW50" i="2"/>
  <c r="GZ49" i="2"/>
  <c r="HA50" i="2"/>
  <c r="HD49" i="2"/>
  <c r="HE50" i="2"/>
  <c r="HH49" i="2"/>
  <c r="HI50" i="2"/>
  <c r="HL49" i="2"/>
  <c r="HM50" i="2"/>
  <c r="HP49" i="2"/>
  <c r="HQ50" i="2"/>
  <c r="HT49" i="2"/>
  <c r="HU50" i="2"/>
  <c r="HX49" i="2"/>
  <c r="HY50" i="2"/>
  <c r="IB49" i="2"/>
  <c r="IC50" i="2"/>
  <c r="IF49" i="2"/>
  <c r="IG50" i="2"/>
  <c r="IJ49" i="2"/>
  <c r="IK50" i="2"/>
  <c r="IN49" i="2"/>
  <c r="IO50" i="2"/>
  <c r="IR49" i="2"/>
  <c r="IS50" i="2"/>
  <c r="IX49" i="2"/>
  <c r="IY50" i="2"/>
  <c r="JB49" i="2"/>
  <c r="JC50" i="2"/>
  <c r="JF49" i="2"/>
  <c r="JG50" i="2"/>
  <c r="JJ49" i="2"/>
  <c r="JK50" i="2"/>
  <c r="JN49" i="2"/>
  <c r="JO50" i="2"/>
  <c r="JR49" i="2"/>
  <c r="JS50" i="2"/>
  <c r="JV49" i="2"/>
  <c r="JW50" i="2"/>
  <c r="JZ49" i="2"/>
  <c r="KA50" i="2"/>
  <c r="KD49" i="2"/>
  <c r="KE50" i="2"/>
  <c r="KH49" i="2"/>
  <c r="KI50" i="2"/>
  <c r="KL49" i="2"/>
  <c r="KM50" i="2"/>
  <c r="KP49" i="2"/>
  <c r="KQ50" i="2"/>
  <c r="KT49" i="2"/>
  <c r="KU50" i="2"/>
  <c r="GK49" i="2"/>
  <c r="GL50" i="2"/>
  <c r="GS49" i="2"/>
  <c r="GT50" i="2"/>
  <c r="HA49" i="2"/>
  <c r="HB50" i="2"/>
  <c r="HI49" i="2"/>
  <c r="HJ50" i="2"/>
  <c r="HQ49" i="2"/>
  <c r="HR50" i="2"/>
  <c r="HY49" i="2"/>
  <c r="HZ50" i="2"/>
  <c r="IG49" i="2"/>
  <c r="IH50" i="2"/>
  <c r="IO49" i="2"/>
  <c r="IP50" i="2"/>
  <c r="IU50" i="2"/>
  <c r="IV49" i="2"/>
  <c r="IW49" i="2"/>
  <c r="GD49" i="2"/>
  <c r="GJ50" i="2"/>
  <c r="IW50" i="2"/>
  <c r="IZ49" i="2"/>
  <c r="JA50" i="2"/>
  <c r="JD49" i="2"/>
  <c r="JE50" i="2"/>
  <c r="JH49" i="2"/>
  <c r="JI50" i="2"/>
  <c r="JL49" i="2"/>
  <c r="JM50" i="2"/>
  <c r="JP49" i="2"/>
  <c r="JQ50" i="2"/>
  <c r="JT49" i="2"/>
  <c r="JU50" i="2"/>
  <c r="JX49" i="2"/>
  <c r="JY50" i="2"/>
  <c r="KB49" i="2"/>
  <c r="KC50" i="2"/>
  <c r="KF49" i="2"/>
  <c r="KG50" i="2"/>
  <c r="KJ49" i="2"/>
  <c r="KK50" i="2"/>
  <c r="KN49" i="2"/>
  <c r="KO50" i="2"/>
  <c r="KR49" i="2"/>
  <c r="KS50" i="2"/>
  <c r="KV49" i="2"/>
  <c r="GF50" i="2"/>
  <c r="GO49" i="2"/>
  <c r="GP50" i="2"/>
  <c r="GW49" i="2"/>
  <c r="GX50" i="2"/>
  <c r="HE49" i="2"/>
  <c r="HF50" i="2"/>
  <c r="HM49" i="2"/>
  <c r="HN50" i="2"/>
  <c r="HU49" i="2"/>
  <c r="HV50" i="2"/>
  <c r="IC49" i="2"/>
  <c r="ID50" i="2"/>
  <c r="IK49" i="2"/>
  <c r="IL50" i="2"/>
  <c r="IS49" i="2"/>
  <c r="IT50" i="2"/>
  <c r="IY49" i="2"/>
  <c r="IZ50" i="2"/>
  <c r="JC49" i="2"/>
  <c r="JD50" i="2"/>
  <c r="JG49" i="2"/>
  <c r="JH50" i="2"/>
  <c r="JK49" i="2"/>
  <c r="JL50" i="2"/>
  <c r="JO49" i="2"/>
  <c r="JP50" i="2"/>
  <c r="JS49" i="2"/>
  <c r="JT50" i="2"/>
  <c r="JW49" i="2"/>
  <c r="JX50" i="2"/>
  <c r="KA49" i="2"/>
  <c r="KB50" i="2"/>
  <c r="JA49" i="2"/>
  <c r="JB50" i="2"/>
  <c r="JI49" i="2"/>
  <c r="JJ50" i="2"/>
  <c r="JQ49" i="2"/>
  <c r="JR50" i="2"/>
  <c r="JY49" i="2"/>
  <c r="JZ50" i="2"/>
  <c r="KD50" i="2"/>
  <c r="KF50" i="2"/>
  <c r="KH50" i="2"/>
  <c r="KJ50" i="2"/>
  <c r="KL50" i="2"/>
  <c r="KN50" i="2"/>
  <c r="KP50" i="2"/>
  <c r="KR50" i="2"/>
  <c r="KT50" i="2"/>
  <c r="KV50" i="2"/>
  <c r="KX49" i="2"/>
  <c r="KY50" i="2"/>
  <c r="LB49" i="2"/>
  <c r="LC50" i="2"/>
  <c r="LF49" i="2"/>
  <c r="LG50" i="2"/>
  <c r="LJ49" i="2"/>
  <c r="LK50" i="2"/>
  <c r="LN49" i="2"/>
  <c r="LO50" i="2"/>
  <c r="LR49" i="2"/>
  <c r="LS50" i="2"/>
  <c r="LV49" i="2"/>
  <c r="LW50" i="2"/>
  <c r="LZ49" i="2"/>
  <c r="MA50" i="2"/>
  <c r="MD49" i="2"/>
  <c r="ME50" i="2"/>
  <c r="MH49" i="2"/>
  <c r="MI50" i="2"/>
  <c r="ML49" i="2"/>
  <c r="MM50" i="2"/>
  <c r="MP49" i="2"/>
  <c r="MQ50" i="2"/>
  <c r="MT49" i="2"/>
  <c r="MU50" i="2"/>
  <c r="MX49" i="2"/>
  <c r="MY50" i="2"/>
  <c r="NB49" i="2"/>
  <c r="NC50" i="2"/>
  <c r="NF49" i="2"/>
  <c r="NG50" i="2"/>
  <c r="NJ49" i="2"/>
  <c r="NK50" i="2"/>
  <c r="NN49" i="2"/>
  <c r="NO50" i="2"/>
  <c r="NR49" i="2"/>
  <c r="NS50" i="2"/>
  <c r="NV49" i="2"/>
  <c r="NW50" i="2"/>
  <c r="NZ49" i="2"/>
  <c r="OA50" i="2"/>
  <c r="OD49" i="2"/>
  <c r="OE50" i="2"/>
  <c r="OH49" i="2"/>
  <c r="OI50" i="2"/>
  <c r="OL49" i="2"/>
  <c r="OM50" i="2"/>
  <c r="OP49" i="2"/>
  <c r="OQ50" i="2"/>
  <c r="OT49" i="2"/>
  <c r="OU50" i="2"/>
  <c r="OX49" i="2"/>
  <c r="OY50" i="2"/>
  <c r="PB49" i="2"/>
  <c r="PC50" i="2"/>
  <c r="KW49" i="2"/>
  <c r="KX50" i="2"/>
  <c r="LA49" i="2"/>
  <c r="LB50" i="2"/>
  <c r="LE49" i="2"/>
  <c r="LF50" i="2"/>
  <c r="LI49" i="2"/>
  <c r="LJ50" i="2"/>
  <c r="LM49" i="2"/>
  <c r="LN50" i="2"/>
  <c r="LQ49" i="2"/>
  <c r="LR50" i="2"/>
  <c r="LU49" i="2"/>
  <c r="LV50" i="2"/>
  <c r="LY49" i="2"/>
  <c r="LZ50" i="2"/>
  <c r="MC49" i="2"/>
  <c r="MD50" i="2"/>
  <c r="MG49" i="2"/>
  <c r="MH50" i="2"/>
  <c r="MK49" i="2"/>
  <c r="ML50" i="2"/>
  <c r="MO49" i="2"/>
  <c r="MP50" i="2"/>
  <c r="MS49" i="2"/>
  <c r="MT50" i="2"/>
  <c r="MW49" i="2"/>
  <c r="MX50" i="2"/>
  <c r="NA49" i="2"/>
  <c r="NB50" i="2"/>
  <c r="NE49" i="2"/>
  <c r="NF50" i="2"/>
  <c r="NI49" i="2"/>
  <c r="NJ50" i="2"/>
  <c r="NM49" i="2"/>
  <c r="NN50" i="2"/>
  <c r="NQ49" i="2"/>
  <c r="NR50" i="2"/>
  <c r="NU49" i="2"/>
  <c r="NV50" i="2"/>
  <c r="NY49" i="2"/>
  <c r="NZ50" i="2"/>
  <c r="OC49" i="2"/>
  <c r="OD50" i="2"/>
  <c r="OG49" i="2"/>
  <c r="OH50" i="2"/>
  <c r="OK49" i="2"/>
  <c r="OL50" i="2"/>
  <c r="OO49" i="2"/>
  <c r="OP50" i="2"/>
  <c r="OS49" i="2"/>
  <c r="OT50" i="2"/>
  <c r="OW49" i="2"/>
  <c r="OX50" i="2"/>
  <c r="PA49" i="2"/>
  <c r="PB50" i="2"/>
  <c r="PE49" i="2"/>
  <c r="PF50" i="2"/>
  <c r="PI49" i="2"/>
  <c r="PJ50" i="2"/>
  <c r="PM49" i="2"/>
  <c r="PN50" i="2"/>
  <c r="IX50" i="2"/>
  <c r="JE49" i="2"/>
  <c r="JF50" i="2"/>
  <c r="JM49" i="2"/>
  <c r="JN50" i="2"/>
  <c r="JU49" i="2"/>
  <c r="JV50" i="2"/>
  <c r="KC49" i="2"/>
  <c r="KE49" i="2"/>
  <c r="KG49" i="2"/>
  <c r="KI49" i="2"/>
  <c r="KK49" i="2"/>
  <c r="KM49" i="2"/>
  <c r="KO49" i="2"/>
  <c r="KQ49" i="2"/>
  <c r="KS49" i="2"/>
  <c r="KU49" i="2"/>
  <c r="KW50" i="2"/>
  <c r="KZ49" i="2"/>
  <c r="LA50" i="2"/>
  <c r="LD49" i="2"/>
  <c r="LE50" i="2"/>
  <c r="LH49" i="2"/>
  <c r="LI50" i="2"/>
  <c r="LL49" i="2"/>
  <c r="LM50" i="2"/>
  <c r="LP49" i="2"/>
  <c r="LQ50" i="2"/>
  <c r="LT49" i="2"/>
  <c r="LU50" i="2"/>
  <c r="LX49" i="2"/>
  <c r="LY50" i="2"/>
  <c r="MB49" i="2"/>
  <c r="MC50" i="2"/>
  <c r="MF49" i="2"/>
  <c r="MG50" i="2"/>
  <c r="MJ49" i="2"/>
  <c r="MK50" i="2"/>
  <c r="MN49" i="2"/>
  <c r="MO50" i="2"/>
  <c r="MR49" i="2"/>
  <c r="MS50" i="2"/>
  <c r="MV49" i="2"/>
  <c r="MW50" i="2"/>
  <c r="MZ49" i="2"/>
  <c r="NA50" i="2"/>
  <c r="ND49" i="2"/>
  <c r="NE50" i="2"/>
  <c r="NH49" i="2"/>
  <c r="NI50" i="2"/>
  <c r="NL49" i="2"/>
  <c r="NM50" i="2"/>
  <c r="NP49" i="2"/>
  <c r="NQ50" i="2"/>
  <c r="NT49" i="2"/>
  <c r="NU50" i="2"/>
  <c r="NX49" i="2"/>
  <c r="NY50" i="2"/>
  <c r="OB49" i="2"/>
  <c r="OC50" i="2"/>
  <c r="OF49" i="2"/>
  <c r="OG50" i="2"/>
  <c r="OJ49" i="2"/>
  <c r="OK50" i="2"/>
  <c r="ON49" i="2"/>
  <c r="OO50" i="2"/>
  <c r="OR49" i="2"/>
  <c r="OS50" i="2"/>
  <c r="OV49" i="2"/>
  <c r="OW50" i="2"/>
  <c r="OZ49" i="2"/>
  <c r="PA50" i="2"/>
  <c r="KY49" i="2"/>
  <c r="KZ50" i="2"/>
  <c r="LC49" i="2"/>
  <c r="LD50" i="2"/>
  <c r="LG49" i="2"/>
  <c r="LH50" i="2"/>
  <c r="LK49" i="2"/>
  <c r="LL50" i="2"/>
  <c r="LO49" i="2"/>
  <c r="LP50" i="2"/>
  <c r="LS49" i="2"/>
  <c r="LT50" i="2"/>
  <c r="LW49" i="2"/>
  <c r="LX50" i="2"/>
  <c r="MA49" i="2"/>
  <c r="MB50" i="2"/>
  <c r="ME49" i="2"/>
  <c r="MF50" i="2"/>
  <c r="MI49" i="2"/>
  <c r="MJ50" i="2"/>
  <c r="MM49" i="2"/>
  <c r="MN50" i="2"/>
  <c r="MQ49" i="2"/>
  <c r="MR50" i="2"/>
  <c r="MU49" i="2"/>
  <c r="MV50" i="2"/>
  <c r="MY49" i="2"/>
  <c r="MZ50" i="2"/>
  <c r="NC49" i="2"/>
  <c r="ND50" i="2"/>
  <c r="NG49" i="2"/>
  <c r="NH50" i="2"/>
  <c r="NK49" i="2"/>
  <c r="NL50" i="2"/>
  <c r="NO49" i="2"/>
  <c r="NP50" i="2"/>
  <c r="NS49" i="2"/>
  <c r="NT50" i="2"/>
  <c r="NW49" i="2"/>
  <c r="NX50" i="2"/>
  <c r="OA49" i="2"/>
  <c r="OB50" i="2"/>
  <c r="OE49" i="2"/>
  <c r="OF50" i="2"/>
  <c r="OI49" i="2"/>
  <c r="OJ50" i="2"/>
  <c r="OM49" i="2"/>
  <c r="ON50" i="2"/>
  <c r="OQ49" i="2"/>
  <c r="OR50" i="2"/>
  <c r="OU49" i="2"/>
  <c r="OV50" i="2"/>
  <c r="PG50" i="2"/>
  <c r="PH49" i="2"/>
  <c r="PO49" i="2"/>
  <c r="PP50" i="2"/>
  <c r="PS49" i="2"/>
  <c r="PT50" i="2"/>
  <c r="PW49" i="2"/>
  <c r="PX50" i="2"/>
  <c r="QA49" i="2"/>
  <c r="QB50" i="2"/>
  <c r="QE49" i="2"/>
  <c r="QF50" i="2"/>
  <c r="QI49" i="2"/>
  <c r="QJ50" i="2"/>
  <c r="QM49" i="2"/>
  <c r="QN50" i="2"/>
  <c r="QQ49" i="2"/>
  <c r="QR50" i="2"/>
  <c r="QU49" i="2"/>
  <c r="QV50" i="2"/>
  <c r="QY49" i="2"/>
  <c r="QZ50" i="2"/>
  <c r="RC49" i="2"/>
  <c r="RD50" i="2"/>
  <c r="RG49" i="2"/>
  <c r="RH50" i="2"/>
  <c r="RK49" i="2"/>
  <c r="RL50" i="2"/>
  <c r="RO49" i="2"/>
  <c r="RP50" i="2"/>
  <c r="RS49" i="2"/>
  <c r="RT50" i="2"/>
  <c r="RW49" i="2"/>
  <c r="RX50" i="2"/>
  <c r="SA49" i="2"/>
  <c r="SB50" i="2"/>
  <c r="SE49" i="2"/>
  <c r="SF50" i="2"/>
  <c r="SI49" i="2"/>
  <c r="SJ50" i="2"/>
  <c r="SM49" i="2"/>
  <c r="SN50" i="2"/>
  <c r="SQ49" i="2"/>
  <c r="SR50" i="2"/>
  <c r="SU49" i="2"/>
  <c r="SV50" i="2"/>
  <c r="SY49" i="2"/>
  <c r="SZ50" i="2"/>
  <c r="TC49" i="2"/>
  <c r="TD50" i="2"/>
  <c r="TG49" i="2"/>
  <c r="TH50" i="2"/>
  <c r="TK49" i="2"/>
  <c r="TL50" i="2"/>
  <c r="TO49" i="2"/>
  <c r="TP50" i="2"/>
  <c r="PH50" i="2"/>
  <c r="PI50" i="2"/>
  <c r="PJ49" i="2"/>
  <c r="PK49" i="2"/>
  <c r="PO50" i="2"/>
  <c r="PR49" i="2"/>
  <c r="PS50" i="2"/>
  <c r="PV49" i="2"/>
  <c r="PW50" i="2"/>
  <c r="PZ49" i="2"/>
  <c r="QA50" i="2"/>
  <c r="QD49" i="2"/>
  <c r="QE50" i="2"/>
  <c r="QH49" i="2"/>
  <c r="QI50" i="2"/>
  <c r="QL49" i="2"/>
  <c r="QM50" i="2"/>
  <c r="QP49" i="2"/>
  <c r="QQ50" i="2"/>
  <c r="QT49" i="2"/>
  <c r="QU50" i="2"/>
  <c r="QX49" i="2"/>
  <c r="QY50" i="2"/>
  <c r="RB49" i="2"/>
  <c r="RC50" i="2"/>
  <c r="RF49" i="2"/>
  <c r="RG50" i="2"/>
  <c r="RJ49" i="2"/>
  <c r="RK50" i="2"/>
  <c r="RN49" i="2"/>
  <c r="RO50" i="2"/>
  <c r="RR49" i="2"/>
  <c r="RS50" i="2"/>
  <c r="RV49" i="2"/>
  <c r="RW50" i="2"/>
  <c r="RZ49" i="2"/>
  <c r="SA50" i="2"/>
  <c r="SD49" i="2"/>
  <c r="SE50" i="2"/>
  <c r="SH49" i="2"/>
  <c r="SI50" i="2"/>
  <c r="SL49" i="2"/>
  <c r="SM50" i="2"/>
  <c r="SP49" i="2"/>
  <c r="SQ50" i="2"/>
  <c r="ST49" i="2"/>
  <c r="SU50" i="2"/>
  <c r="SX49" i="2"/>
  <c r="SY50" i="2"/>
  <c r="TB49" i="2"/>
  <c r="TC50" i="2"/>
  <c r="TF49" i="2"/>
  <c r="TG50" i="2"/>
  <c r="TJ49" i="2"/>
  <c r="TK50" i="2"/>
  <c r="TN49" i="2"/>
  <c r="TO50" i="2"/>
  <c r="TR49" i="2"/>
  <c r="TS50" i="2"/>
  <c r="TV49" i="2"/>
  <c r="TW50" i="2"/>
  <c r="OY49" i="2"/>
  <c r="OZ50" i="2"/>
  <c r="PC49" i="2"/>
  <c r="PD49" i="2"/>
  <c r="PK50" i="2"/>
  <c r="PL49" i="2"/>
  <c r="PQ49" i="2"/>
  <c r="PR50" i="2"/>
  <c r="PU49" i="2"/>
  <c r="PV50" i="2"/>
  <c r="PY49" i="2"/>
  <c r="PZ50" i="2"/>
  <c r="QC49" i="2"/>
  <c r="QD50" i="2"/>
  <c r="QG49" i="2"/>
  <c r="QH50" i="2"/>
  <c r="QK49" i="2"/>
  <c r="QL50" i="2"/>
  <c r="QO49" i="2"/>
  <c r="QP50" i="2"/>
  <c r="QS49" i="2"/>
  <c r="QT50" i="2"/>
  <c r="QW49" i="2"/>
  <c r="QX50" i="2"/>
  <c r="RA49" i="2"/>
  <c r="RB50" i="2"/>
  <c r="RE49" i="2"/>
  <c r="RF50" i="2"/>
  <c r="RI49" i="2"/>
  <c r="RJ50" i="2"/>
  <c r="RM49" i="2"/>
  <c r="RN50" i="2"/>
  <c r="RQ49" i="2"/>
  <c r="RR50" i="2"/>
  <c r="RU49" i="2"/>
  <c r="RV50" i="2"/>
  <c r="RY49" i="2"/>
  <c r="RZ50" i="2"/>
  <c r="SC49" i="2"/>
  <c r="SD50" i="2"/>
  <c r="SG49" i="2"/>
  <c r="SH50" i="2"/>
  <c r="SK49" i="2"/>
  <c r="SL50" i="2"/>
  <c r="SO49" i="2"/>
  <c r="SP50" i="2"/>
  <c r="SS49" i="2"/>
  <c r="ST50" i="2"/>
  <c r="SW49" i="2"/>
  <c r="SX50" i="2"/>
  <c r="TA49" i="2"/>
  <c r="TB50" i="2"/>
  <c r="TE49" i="2"/>
  <c r="TF50" i="2"/>
  <c r="TI49" i="2"/>
  <c r="TJ50" i="2"/>
  <c r="TM49" i="2"/>
  <c r="TN50" i="2"/>
  <c r="TQ49" i="2"/>
  <c r="TR50" i="2"/>
  <c r="TU49" i="2"/>
  <c r="TV50" i="2"/>
  <c r="TY49" i="2"/>
  <c r="TZ50" i="2"/>
  <c r="PD50" i="2"/>
  <c r="PE50" i="2"/>
  <c r="PF49" i="2"/>
  <c r="PG49" i="2"/>
  <c r="PL50" i="2"/>
  <c r="PM50" i="2"/>
  <c r="PN49" i="2"/>
  <c r="PP49" i="2"/>
  <c r="PQ50" i="2"/>
  <c r="PT49" i="2"/>
  <c r="PU50" i="2"/>
  <c r="PX49" i="2"/>
  <c r="PY50" i="2"/>
  <c r="QB49" i="2"/>
  <c r="QC50" i="2"/>
  <c r="QF49" i="2"/>
  <c r="QG50" i="2"/>
  <c r="QJ49" i="2"/>
  <c r="QK50" i="2"/>
  <c r="QN49" i="2"/>
  <c r="QO50" i="2"/>
  <c r="QR49" i="2"/>
  <c r="QS50" i="2"/>
  <c r="QV49" i="2"/>
  <c r="QW50" i="2"/>
  <c r="QZ49" i="2"/>
  <c r="RA50" i="2"/>
  <c r="RD49" i="2"/>
  <c r="RE50" i="2"/>
  <c r="RH49" i="2"/>
  <c r="RI50" i="2"/>
  <c r="RL49" i="2"/>
  <c r="RM50" i="2"/>
  <c r="RP49" i="2"/>
  <c r="RQ50" i="2"/>
  <c r="RT49" i="2"/>
  <c r="RU50" i="2"/>
  <c r="RX49" i="2"/>
  <c r="RY50" i="2"/>
  <c r="SB49" i="2"/>
  <c r="SC50" i="2"/>
  <c r="SF49" i="2"/>
  <c r="SG50" i="2"/>
  <c r="SJ49" i="2"/>
  <c r="SK50" i="2"/>
  <c r="SN49" i="2"/>
  <c r="SO50" i="2"/>
  <c r="SR49" i="2"/>
  <c r="SS50" i="2"/>
  <c r="SV49" i="2"/>
  <c r="SW50" i="2"/>
  <c r="SZ49" i="2"/>
  <c r="TA50" i="2"/>
  <c r="TD49" i="2"/>
  <c r="TE50" i="2"/>
  <c r="TH49" i="2"/>
  <c r="TI50" i="2"/>
  <c r="TL49" i="2"/>
  <c r="TM50" i="2"/>
  <c r="TP49" i="2"/>
  <c r="TQ50" i="2"/>
  <c r="TT49" i="2"/>
  <c r="TU50" i="2"/>
  <c r="TX49" i="2"/>
  <c r="TY50" i="2"/>
  <c r="UB49" i="2"/>
  <c r="UC50" i="2"/>
  <c r="UF49" i="2"/>
  <c r="UG50" i="2"/>
  <c r="TW49" i="2"/>
  <c r="TX50" i="2"/>
  <c r="UD50" i="2"/>
  <c r="UE49" i="2"/>
  <c r="UJ50" i="2"/>
  <c r="UM49" i="2"/>
  <c r="UN50" i="2"/>
  <c r="UQ49" i="2"/>
  <c r="UR50" i="2"/>
  <c r="UU49" i="2"/>
  <c r="UV50" i="2"/>
  <c r="UY49" i="2"/>
  <c r="UZ50" i="2"/>
  <c r="VC49" i="2"/>
  <c r="VD50" i="2"/>
  <c r="VG49" i="2"/>
  <c r="VH50" i="2"/>
  <c r="VK49" i="2"/>
  <c r="VL50" i="2"/>
  <c r="VO49" i="2"/>
  <c r="VP50" i="2"/>
  <c r="VS49" i="2"/>
  <c r="VT50" i="2"/>
  <c r="VW49" i="2"/>
  <c r="VX50" i="2"/>
  <c r="WA49" i="2"/>
  <c r="WB50" i="2"/>
  <c r="WE49" i="2"/>
  <c r="WF50" i="2"/>
  <c r="WI49" i="2"/>
  <c r="WJ50" i="2"/>
  <c r="WM49" i="2"/>
  <c r="WN50" i="2"/>
  <c r="UE50" i="2"/>
  <c r="UF50" i="2"/>
  <c r="UG49" i="2"/>
  <c r="UH49" i="2"/>
  <c r="UL49" i="2"/>
  <c r="UM50" i="2"/>
  <c r="UP49" i="2"/>
  <c r="UQ50" i="2"/>
  <c r="UT49" i="2"/>
  <c r="UU50" i="2"/>
  <c r="UX49" i="2"/>
  <c r="UY50" i="2"/>
  <c r="VB49" i="2"/>
  <c r="VC50" i="2"/>
  <c r="VF49" i="2"/>
  <c r="VG50" i="2"/>
  <c r="VJ49" i="2"/>
  <c r="VK50" i="2"/>
  <c r="VN49" i="2"/>
  <c r="VO50" i="2"/>
  <c r="VR49" i="2"/>
  <c r="VS50" i="2"/>
  <c r="VV49" i="2"/>
  <c r="VW50" i="2"/>
  <c r="VZ49" i="2"/>
  <c r="WA50" i="2"/>
  <c r="WD49" i="2"/>
  <c r="WE50" i="2"/>
  <c r="WH49" i="2"/>
  <c r="WI50" i="2"/>
  <c r="WL49" i="2"/>
  <c r="WM50" i="2"/>
  <c r="TS49" i="2"/>
  <c r="TT50" i="2"/>
  <c r="UA49" i="2"/>
  <c r="UH50" i="2"/>
  <c r="UI49" i="2"/>
  <c r="UK49" i="2"/>
  <c r="UL50" i="2"/>
  <c r="UO49" i="2"/>
  <c r="UP50" i="2"/>
  <c r="US49" i="2"/>
  <c r="UT50" i="2"/>
  <c r="UW49" i="2"/>
  <c r="UX50" i="2"/>
  <c r="VA49" i="2"/>
  <c r="VB50" i="2"/>
  <c r="VE49" i="2"/>
  <c r="VF50" i="2"/>
  <c r="VI49" i="2"/>
  <c r="VJ50" i="2"/>
  <c r="VM49" i="2"/>
  <c r="VN50" i="2"/>
  <c r="VQ49" i="2"/>
  <c r="VR50" i="2"/>
  <c r="VU49" i="2"/>
  <c r="VV50" i="2"/>
  <c r="VY49" i="2"/>
  <c r="VZ50" i="2"/>
  <c r="WC49" i="2"/>
  <c r="WD50" i="2"/>
  <c r="WG49" i="2"/>
  <c r="WH50" i="2"/>
  <c r="WK49" i="2"/>
  <c r="WL50" i="2"/>
  <c r="TZ49" i="2"/>
  <c r="UA50" i="2"/>
  <c r="UB50" i="2"/>
  <c r="UC49" i="2"/>
  <c r="UD49" i="2"/>
  <c r="UI50" i="2"/>
  <c r="UJ49" i="2"/>
  <c r="UK50" i="2"/>
  <c r="UN49" i="2"/>
  <c r="UO50" i="2"/>
  <c r="UR49" i="2"/>
  <c r="US50" i="2"/>
  <c r="UV49" i="2"/>
  <c r="UW50" i="2"/>
  <c r="UZ49" i="2"/>
  <c r="VA50" i="2"/>
  <c r="VD49" i="2"/>
  <c r="VE50" i="2"/>
  <c r="VH49" i="2"/>
  <c r="VI50" i="2"/>
  <c r="VL49" i="2"/>
  <c r="VM50" i="2"/>
  <c r="VP49" i="2"/>
  <c r="VQ50" i="2"/>
  <c r="VT49" i="2"/>
  <c r="VU50" i="2"/>
  <c r="VX49" i="2"/>
  <c r="VY50" i="2"/>
  <c r="WB49" i="2"/>
  <c r="WC50" i="2"/>
  <c r="WF49" i="2"/>
  <c r="WG50" i="2"/>
  <c r="WJ49" i="2"/>
  <c r="WK50" i="2"/>
  <c r="WN49" i="2"/>
  <c r="AF50" i="2"/>
  <c r="X50" i="2"/>
  <c r="P50" i="2"/>
  <c r="EH37" i="2"/>
  <c r="EG37" i="2"/>
  <c r="BR36" i="2"/>
  <c r="BT37" i="2"/>
  <c r="BU37" i="2"/>
  <c r="BC37" i="2"/>
  <c r="BD37" i="2"/>
  <c r="CY37" i="2"/>
  <c r="CP37" i="2"/>
  <c r="BG37" i="2"/>
  <c r="DC37" i="2"/>
  <c r="AD37" i="2"/>
  <c r="CE37" i="2"/>
  <c r="CF37" i="2"/>
  <c r="CG37" i="2"/>
  <c r="CH37" i="2"/>
  <c r="AM37" i="2"/>
  <c r="BO37" i="2"/>
  <c r="P37" i="2"/>
  <c r="X37" i="2"/>
  <c r="N37" i="2"/>
  <c r="CU37" i="2"/>
  <c r="AZ37" i="2"/>
  <c r="R15" i="1"/>
  <c r="V33" i="1"/>
  <c r="D23" i="8" s="1"/>
  <c r="R29" i="1"/>
  <c r="CQ49" i="2"/>
  <c r="CI49" i="2"/>
  <c r="CA49" i="2"/>
  <c r="BJ49" i="2"/>
  <c r="Y49" i="2"/>
  <c r="AX49" i="2"/>
  <c r="T49" i="2"/>
  <c r="BI49" i="2"/>
  <c r="AU49" i="2"/>
  <c r="AL49" i="2"/>
  <c r="BA49" i="2"/>
  <c r="AS49" i="2"/>
  <c r="AG49" i="2"/>
  <c r="AD49" i="2"/>
  <c r="N49" i="2"/>
  <c r="AA49" i="2"/>
  <c r="C55" i="2"/>
  <c r="L55" i="2"/>
  <c r="T55" i="2"/>
  <c r="X55" i="2"/>
  <c r="AJ55" i="2"/>
  <c r="K55" i="2"/>
  <c r="O55" i="2"/>
  <c r="S55" i="2"/>
  <c r="W55" i="2"/>
  <c r="N55" i="2"/>
  <c r="V55" i="2"/>
  <c r="AD55" i="2"/>
  <c r="AG55" i="2"/>
  <c r="AH55" i="2"/>
  <c r="AI55" i="2"/>
  <c r="AP55" i="2"/>
  <c r="AT55" i="2"/>
  <c r="AX55" i="2"/>
  <c r="BB55" i="2"/>
  <c r="Q55" i="2"/>
  <c r="Y55" i="2"/>
  <c r="AK55" i="2"/>
  <c r="AL55" i="2"/>
  <c r="AO55" i="2"/>
  <c r="AS55" i="2"/>
  <c r="AW55" i="2"/>
  <c r="BA55" i="2"/>
  <c r="BE55" i="2"/>
  <c r="R55" i="2"/>
  <c r="M55" i="2"/>
  <c r="Z55" i="2"/>
  <c r="AE55" i="2"/>
  <c r="AM55" i="2"/>
  <c r="AQ55" i="2"/>
  <c r="AU55" i="2"/>
  <c r="AY55" i="2"/>
  <c r="BC55" i="2"/>
  <c r="BJ55" i="2"/>
  <c r="BN55" i="2"/>
  <c r="U55" i="2"/>
  <c r="AC55" i="2"/>
  <c r="AN55" i="2"/>
  <c r="AR55" i="2"/>
  <c r="AV55" i="2"/>
  <c r="AZ55" i="2"/>
  <c r="BD55" i="2"/>
  <c r="BI55" i="2"/>
  <c r="BM55" i="2"/>
  <c r="BH55" i="2"/>
  <c r="BL55" i="2"/>
  <c r="BP55" i="2"/>
  <c r="BT55" i="2"/>
  <c r="BF55" i="2"/>
  <c r="BG55" i="2"/>
  <c r="BK55" i="2"/>
  <c r="BQ55" i="2"/>
  <c r="BR55" i="2"/>
  <c r="BS55" i="2"/>
  <c r="BX55" i="2"/>
  <c r="CB55" i="2"/>
  <c r="CF55" i="2"/>
  <c r="CJ55" i="2"/>
  <c r="CN55" i="2"/>
  <c r="CR55" i="2"/>
  <c r="CV55" i="2"/>
  <c r="CZ55" i="2"/>
  <c r="DD55" i="2"/>
  <c r="DH55" i="2"/>
  <c r="CA55" i="2"/>
  <c r="CE55" i="2"/>
  <c r="CI55" i="2"/>
  <c r="CM55" i="2"/>
  <c r="CQ55" i="2"/>
  <c r="CU55" i="2"/>
  <c r="CY55" i="2"/>
  <c r="DC55" i="2"/>
  <c r="DG55" i="2"/>
  <c r="DK55" i="2"/>
  <c r="DO55" i="2"/>
  <c r="DS55" i="2"/>
  <c r="DW55" i="2"/>
  <c r="EA55" i="2"/>
  <c r="EE55" i="2"/>
  <c r="BO55" i="2"/>
  <c r="BU55" i="2"/>
  <c r="BV55" i="2"/>
  <c r="BW55" i="2"/>
  <c r="BZ55" i="2"/>
  <c r="CD55" i="2"/>
  <c r="CH55" i="2"/>
  <c r="CL55" i="2"/>
  <c r="CP55" i="2"/>
  <c r="CT55" i="2"/>
  <c r="CX55" i="2"/>
  <c r="DB55" i="2"/>
  <c r="DF55" i="2"/>
  <c r="DJ55" i="2"/>
  <c r="DN55" i="2"/>
  <c r="DR55" i="2"/>
  <c r="DV55" i="2"/>
  <c r="DZ55" i="2"/>
  <c r="CC55" i="2"/>
  <c r="CK55" i="2"/>
  <c r="CS55" i="2"/>
  <c r="DA55" i="2"/>
  <c r="DI55" i="2"/>
  <c r="DL55" i="2"/>
  <c r="DP55" i="2"/>
  <c r="DT55" i="2"/>
  <c r="DX55" i="2"/>
  <c r="EB55" i="2"/>
  <c r="EC55" i="2"/>
  <c r="ED55" i="2"/>
  <c r="EI55" i="2"/>
  <c r="EM55" i="2"/>
  <c r="EQ55" i="2"/>
  <c r="EU55" i="2"/>
  <c r="EY55" i="2"/>
  <c r="FC55" i="2"/>
  <c r="FG55" i="2"/>
  <c r="FK55" i="2"/>
  <c r="FO55" i="2"/>
  <c r="FS55" i="2"/>
  <c r="DM55" i="2"/>
  <c r="DQ55" i="2"/>
  <c r="DU55" i="2"/>
  <c r="DY55" i="2"/>
  <c r="EH55" i="2"/>
  <c r="EL55" i="2"/>
  <c r="EP55" i="2"/>
  <c r="ET55" i="2"/>
  <c r="EX55" i="2"/>
  <c r="FB55" i="2"/>
  <c r="FF55" i="2"/>
  <c r="FJ55" i="2"/>
  <c r="FN55" i="2"/>
  <c r="FR55" i="2"/>
  <c r="FV55" i="2"/>
  <c r="FZ55" i="2"/>
  <c r="GD55" i="2"/>
  <c r="BY55" i="2"/>
  <c r="CG55" i="2"/>
  <c r="CO55" i="2"/>
  <c r="CW55" i="2"/>
  <c r="DE55" i="2"/>
  <c r="EG55" i="2"/>
  <c r="EJ55" i="2"/>
  <c r="EN55" i="2"/>
  <c r="ER55" i="2"/>
  <c r="EV55" i="2"/>
  <c r="EZ55" i="2"/>
  <c r="FD55" i="2"/>
  <c r="FH55" i="2"/>
  <c r="FL55" i="2"/>
  <c r="FP55" i="2"/>
  <c r="FT55" i="2"/>
  <c r="EK55" i="2"/>
  <c r="EO55" i="2"/>
  <c r="ES55" i="2"/>
  <c r="EW55" i="2"/>
  <c r="FA55" i="2"/>
  <c r="FE55" i="2"/>
  <c r="FI55" i="2"/>
  <c r="FM55" i="2"/>
  <c r="FW55" i="2"/>
  <c r="FX55" i="2"/>
  <c r="FY55" i="2"/>
  <c r="GE55" i="2"/>
  <c r="EF55" i="2"/>
  <c r="GH55" i="2"/>
  <c r="GN55" i="2"/>
  <c r="GR55" i="2"/>
  <c r="GV55" i="2"/>
  <c r="GZ55" i="2"/>
  <c r="HD55" i="2"/>
  <c r="HH55" i="2"/>
  <c r="HL55" i="2"/>
  <c r="HP55" i="2"/>
  <c r="HT55" i="2"/>
  <c r="HX55" i="2"/>
  <c r="IB55" i="2"/>
  <c r="IF55" i="2"/>
  <c r="IJ55" i="2"/>
  <c r="IN55" i="2"/>
  <c r="IR55" i="2"/>
  <c r="IV55" i="2"/>
  <c r="GA55" i="2"/>
  <c r="GF55" i="2"/>
  <c r="GI55" i="2"/>
  <c r="GJ55" i="2"/>
  <c r="GM55" i="2"/>
  <c r="GQ55" i="2"/>
  <c r="GU55" i="2"/>
  <c r="GY55" i="2"/>
  <c r="HC55" i="2"/>
  <c r="HG55" i="2"/>
  <c r="HK55" i="2"/>
  <c r="HO55" i="2"/>
  <c r="HS55" i="2"/>
  <c r="HW55" i="2"/>
  <c r="IA55" i="2"/>
  <c r="IE55" i="2"/>
  <c r="II55" i="2"/>
  <c r="IM55" i="2"/>
  <c r="IQ55" i="2"/>
  <c r="FU55" i="2"/>
  <c r="GC55" i="2"/>
  <c r="GG55" i="2"/>
  <c r="GK55" i="2"/>
  <c r="GO55" i="2"/>
  <c r="GS55" i="2"/>
  <c r="GW55" i="2"/>
  <c r="HA55" i="2"/>
  <c r="HE55" i="2"/>
  <c r="HI55" i="2"/>
  <c r="HM55" i="2"/>
  <c r="HQ55" i="2"/>
  <c r="HU55" i="2"/>
  <c r="HY55" i="2"/>
  <c r="IC55" i="2"/>
  <c r="IG55" i="2"/>
  <c r="IK55" i="2"/>
  <c r="IO55" i="2"/>
  <c r="IS55" i="2"/>
  <c r="GB55" i="2"/>
  <c r="IU55" i="2"/>
  <c r="IY55" i="2"/>
  <c r="JC55" i="2"/>
  <c r="JG55" i="2"/>
  <c r="JK55" i="2"/>
  <c r="JO55" i="2"/>
  <c r="JS55" i="2"/>
  <c r="JW55" i="2"/>
  <c r="KA55" i="2"/>
  <c r="KE55" i="2"/>
  <c r="KI55" i="2"/>
  <c r="KM55" i="2"/>
  <c r="KQ55" i="2"/>
  <c r="KU55" i="2"/>
  <c r="FQ55" i="2"/>
  <c r="GP55" i="2"/>
  <c r="GX55" i="2"/>
  <c r="HF55" i="2"/>
  <c r="HN55" i="2"/>
  <c r="HV55" i="2"/>
  <c r="ID55" i="2"/>
  <c r="IL55" i="2"/>
  <c r="IT55" i="2"/>
  <c r="IW55" i="2"/>
  <c r="JA55" i="2"/>
  <c r="JE55" i="2"/>
  <c r="JI55" i="2"/>
  <c r="JM55" i="2"/>
  <c r="JQ55" i="2"/>
  <c r="JU55" i="2"/>
  <c r="JY55" i="2"/>
  <c r="KC55" i="2"/>
  <c r="KG55" i="2"/>
  <c r="KK55" i="2"/>
  <c r="KO55" i="2"/>
  <c r="KS55" i="2"/>
  <c r="GL55" i="2"/>
  <c r="GT55" i="2"/>
  <c r="HB55" i="2"/>
  <c r="HJ55" i="2"/>
  <c r="HR55" i="2"/>
  <c r="HZ55" i="2"/>
  <c r="IH55" i="2"/>
  <c r="IP55" i="2"/>
  <c r="IZ55" i="2"/>
  <c r="JD55" i="2"/>
  <c r="JH55" i="2"/>
  <c r="JL55" i="2"/>
  <c r="JP55" i="2"/>
  <c r="JT55" i="2"/>
  <c r="JX55" i="2"/>
  <c r="KB55" i="2"/>
  <c r="IX55" i="2"/>
  <c r="JF55" i="2"/>
  <c r="JN55" i="2"/>
  <c r="JV55" i="2"/>
  <c r="KY55" i="2"/>
  <c r="LC55" i="2"/>
  <c r="LG55" i="2"/>
  <c r="LK55" i="2"/>
  <c r="LO55" i="2"/>
  <c r="LS55" i="2"/>
  <c r="LW55" i="2"/>
  <c r="MA55" i="2"/>
  <c r="ME55" i="2"/>
  <c r="MI55" i="2"/>
  <c r="MM55" i="2"/>
  <c r="MQ55" i="2"/>
  <c r="MU55" i="2"/>
  <c r="MY55" i="2"/>
  <c r="NC55" i="2"/>
  <c r="NG55" i="2"/>
  <c r="NK55" i="2"/>
  <c r="NO55" i="2"/>
  <c r="NS55" i="2"/>
  <c r="NW55" i="2"/>
  <c r="OA55" i="2"/>
  <c r="OE55" i="2"/>
  <c r="OI55" i="2"/>
  <c r="OM55" i="2"/>
  <c r="OQ55" i="2"/>
  <c r="OU55" i="2"/>
  <c r="OY55" i="2"/>
  <c r="KX55" i="2"/>
  <c r="LB55" i="2"/>
  <c r="LF55" i="2"/>
  <c r="LJ55" i="2"/>
  <c r="LN55" i="2"/>
  <c r="LR55" i="2"/>
  <c r="LV55" i="2"/>
  <c r="LZ55" i="2"/>
  <c r="MD55" i="2"/>
  <c r="MH55" i="2"/>
  <c r="ML55" i="2"/>
  <c r="MP55" i="2"/>
  <c r="MT55" i="2"/>
  <c r="MX55" i="2"/>
  <c r="NB55" i="2"/>
  <c r="NF55" i="2"/>
  <c r="NJ55" i="2"/>
  <c r="NN55" i="2"/>
  <c r="NR55" i="2"/>
  <c r="NV55" i="2"/>
  <c r="NZ55" i="2"/>
  <c r="OD55" i="2"/>
  <c r="OH55" i="2"/>
  <c r="OL55" i="2"/>
  <c r="OP55" i="2"/>
  <c r="OT55" i="2"/>
  <c r="OX55" i="2"/>
  <c r="PB55" i="2"/>
  <c r="PF55" i="2"/>
  <c r="PJ55" i="2"/>
  <c r="PN55" i="2"/>
  <c r="JB55" i="2"/>
  <c r="JJ55" i="2"/>
  <c r="JR55" i="2"/>
  <c r="JZ55" i="2"/>
  <c r="KW55" i="2"/>
  <c r="LA55" i="2"/>
  <c r="LE55" i="2"/>
  <c r="LI55" i="2"/>
  <c r="LM55" i="2"/>
  <c r="LQ55" i="2"/>
  <c r="LU55" i="2"/>
  <c r="LY55" i="2"/>
  <c r="MC55" i="2"/>
  <c r="MG55" i="2"/>
  <c r="MK55" i="2"/>
  <c r="MO55" i="2"/>
  <c r="MS55" i="2"/>
  <c r="MW55" i="2"/>
  <c r="NA55" i="2"/>
  <c r="NE55" i="2"/>
  <c r="NI55" i="2"/>
  <c r="NM55" i="2"/>
  <c r="NQ55" i="2"/>
  <c r="NU55" i="2"/>
  <c r="NY55" i="2"/>
  <c r="OC55" i="2"/>
  <c r="OG55" i="2"/>
  <c r="OK55" i="2"/>
  <c r="OO55" i="2"/>
  <c r="OS55" i="2"/>
  <c r="OW55" i="2"/>
  <c r="PA55" i="2"/>
  <c r="KD55" i="2"/>
  <c r="KF55" i="2"/>
  <c r="KH55" i="2"/>
  <c r="KJ55" i="2"/>
  <c r="KL55" i="2"/>
  <c r="KN55" i="2"/>
  <c r="KP55" i="2"/>
  <c r="KR55" i="2"/>
  <c r="KT55" i="2"/>
  <c r="KV55" i="2"/>
  <c r="KZ55" i="2"/>
  <c r="LD55" i="2"/>
  <c r="LH55" i="2"/>
  <c r="LL55" i="2"/>
  <c r="LP55" i="2"/>
  <c r="LT55" i="2"/>
  <c r="LX55" i="2"/>
  <c r="MB55" i="2"/>
  <c r="MF55" i="2"/>
  <c r="MJ55" i="2"/>
  <c r="MN55" i="2"/>
  <c r="MR55" i="2"/>
  <c r="MV55" i="2"/>
  <c r="MZ55" i="2"/>
  <c r="ND55" i="2"/>
  <c r="NH55" i="2"/>
  <c r="NL55" i="2"/>
  <c r="NP55" i="2"/>
  <c r="NT55" i="2"/>
  <c r="NX55" i="2"/>
  <c r="OB55" i="2"/>
  <c r="OF55" i="2"/>
  <c r="OJ55" i="2"/>
  <c r="ON55" i="2"/>
  <c r="OR55" i="2"/>
  <c r="OZ55" i="2"/>
  <c r="PG55" i="2"/>
  <c r="PH55" i="2"/>
  <c r="PI55" i="2"/>
  <c r="PP55" i="2"/>
  <c r="PT55" i="2"/>
  <c r="PX55" i="2"/>
  <c r="QB55" i="2"/>
  <c r="QF55" i="2"/>
  <c r="QJ55" i="2"/>
  <c r="QN55" i="2"/>
  <c r="QR55" i="2"/>
  <c r="QV55" i="2"/>
  <c r="QZ55" i="2"/>
  <c r="RD55" i="2"/>
  <c r="RH55" i="2"/>
  <c r="RL55" i="2"/>
  <c r="RP55" i="2"/>
  <c r="RT55" i="2"/>
  <c r="RX55" i="2"/>
  <c r="SB55" i="2"/>
  <c r="SF55" i="2"/>
  <c r="SJ55" i="2"/>
  <c r="SN55" i="2"/>
  <c r="SR55" i="2"/>
  <c r="SV55" i="2"/>
  <c r="SZ55" i="2"/>
  <c r="TD55" i="2"/>
  <c r="TH55" i="2"/>
  <c r="TL55" i="2"/>
  <c r="TP55" i="2"/>
  <c r="PO55" i="2"/>
  <c r="PS55" i="2"/>
  <c r="PW55" i="2"/>
  <c r="QA55" i="2"/>
  <c r="QE55" i="2"/>
  <c r="QI55" i="2"/>
  <c r="QM55" i="2"/>
  <c r="QQ55" i="2"/>
  <c r="QU55" i="2"/>
  <c r="QY55" i="2"/>
  <c r="RC55" i="2"/>
  <c r="RG55" i="2"/>
  <c r="RK55" i="2"/>
  <c r="RO55" i="2"/>
  <c r="RS55" i="2"/>
  <c r="RW55" i="2"/>
  <c r="SA55" i="2"/>
  <c r="SE55" i="2"/>
  <c r="SI55" i="2"/>
  <c r="SM55" i="2"/>
  <c r="SQ55" i="2"/>
  <c r="SU55" i="2"/>
  <c r="SY55" i="2"/>
  <c r="TC55" i="2"/>
  <c r="TG55" i="2"/>
  <c r="TK55" i="2"/>
  <c r="TO55" i="2"/>
  <c r="TS55" i="2"/>
  <c r="TW55" i="2"/>
  <c r="OV55" i="2"/>
  <c r="PC55" i="2"/>
  <c r="PD55" i="2"/>
  <c r="PE55" i="2"/>
  <c r="PK55" i="2"/>
  <c r="PL55" i="2"/>
  <c r="PM55" i="2"/>
  <c r="PR55" i="2"/>
  <c r="PV55" i="2"/>
  <c r="PZ55" i="2"/>
  <c r="QD55" i="2"/>
  <c r="QH55" i="2"/>
  <c r="QL55" i="2"/>
  <c r="QP55" i="2"/>
  <c r="QT55" i="2"/>
  <c r="QX55" i="2"/>
  <c r="RB55" i="2"/>
  <c r="RF55" i="2"/>
  <c r="RJ55" i="2"/>
  <c r="RN55" i="2"/>
  <c r="RR55" i="2"/>
  <c r="RV55" i="2"/>
  <c r="RZ55" i="2"/>
  <c r="SD55" i="2"/>
  <c r="SH55" i="2"/>
  <c r="SL55" i="2"/>
  <c r="SP55" i="2"/>
  <c r="ST55" i="2"/>
  <c r="SX55" i="2"/>
  <c r="TB55" i="2"/>
  <c r="TF55" i="2"/>
  <c r="TJ55" i="2"/>
  <c r="TN55" i="2"/>
  <c r="TR55" i="2"/>
  <c r="TV55" i="2"/>
  <c r="TZ55" i="2"/>
  <c r="PQ55" i="2"/>
  <c r="PU55" i="2"/>
  <c r="PY55" i="2"/>
  <c r="QC55" i="2"/>
  <c r="QG55" i="2"/>
  <c r="QK55" i="2"/>
  <c r="QO55" i="2"/>
  <c r="QS55" i="2"/>
  <c r="QW55" i="2"/>
  <c r="RA55" i="2"/>
  <c r="RE55" i="2"/>
  <c r="RI55" i="2"/>
  <c r="RM55" i="2"/>
  <c r="RQ55" i="2"/>
  <c r="RU55" i="2"/>
  <c r="RY55" i="2"/>
  <c r="SC55" i="2"/>
  <c r="SG55" i="2"/>
  <c r="SK55" i="2"/>
  <c r="SO55" i="2"/>
  <c r="SS55" i="2"/>
  <c r="SW55" i="2"/>
  <c r="TA55" i="2"/>
  <c r="TE55" i="2"/>
  <c r="TI55" i="2"/>
  <c r="TM55" i="2"/>
  <c r="TQ55" i="2"/>
  <c r="TU55" i="2"/>
  <c r="TY55" i="2"/>
  <c r="UC55" i="2"/>
  <c r="UG55" i="2"/>
  <c r="TT55" i="2"/>
  <c r="UD55" i="2"/>
  <c r="UE55" i="2"/>
  <c r="UF55" i="2"/>
  <c r="UJ55" i="2"/>
  <c r="UN55" i="2"/>
  <c r="UR55" i="2"/>
  <c r="UV55" i="2"/>
  <c r="UZ55" i="2"/>
  <c r="VD55" i="2"/>
  <c r="VH55" i="2"/>
  <c r="VL55" i="2"/>
  <c r="VP55" i="2"/>
  <c r="VT55" i="2"/>
  <c r="VX55" i="2"/>
  <c r="WB55" i="2"/>
  <c r="WF55" i="2"/>
  <c r="WJ55" i="2"/>
  <c r="WN55" i="2"/>
  <c r="UM55" i="2"/>
  <c r="UQ55" i="2"/>
  <c r="UU55" i="2"/>
  <c r="UY55" i="2"/>
  <c r="VC55" i="2"/>
  <c r="VG55" i="2"/>
  <c r="VK55" i="2"/>
  <c r="VO55" i="2"/>
  <c r="VS55" i="2"/>
  <c r="VW55" i="2"/>
  <c r="WA55" i="2"/>
  <c r="WE55" i="2"/>
  <c r="WI55" i="2"/>
  <c r="WM55" i="2"/>
  <c r="TX55" i="2"/>
  <c r="UA55" i="2"/>
  <c r="UB55" i="2"/>
  <c r="UH55" i="2"/>
  <c r="UI55" i="2"/>
  <c r="UL55" i="2"/>
  <c r="UP55" i="2"/>
  <c r="UT55" i="2"/>
  <c r="UX55" i="2"/>
  <c r="VB55" i="2"/>
  <c r="VF55" i="2"/>
  <c r="VJ55" i="2"/>
  <c r="VN55" i="2"/>
  <c r="VR55" i="2"/>
  <c r="VV55" i="2"/>
  <c r="VZ55" i="2"/>
  <c r="WD55" i="2"/>
  <c r="WH55" i="2"/>
  <c r="WL55" i="2"/>
  <c r="UK55" i="2"/>
  <c r="UO55" i="2"/>
  <c r="US55" i="2"/>
  <c r="UW55" i="2"/>
  <c r="VA55" i="2"/>
  <c r="VE55" i="2"/>
  <c r="VI55" i="2"/>
  <c r="VM55" i="2"/>
  <c r="VQ55" i="2"/>
  <c r="VU55" i="2"/>
  <c r="VY55" i="2"/>
  <c r="WC55" i="2"/>
  <c r="WG55" i="2"/>
  <c r="WK55" i="2"/>
  <c r="K54" i="2"/>
  <c r="BS37" i="2"/>
  <c r="KD37" i="2"/>
  <c r="BR37" i="2"/>
  <c r="C48" i="2"/>
  <c r="J48" i="2"/>
  <c r="R48" i="2"/>
  <c r="AH48" i="2"/>
  <c r="U48" i="2"/>
  <c r="Y48" i="2"/>
  <c r="P48" i="2"/>
  <c r="X48" i="2"/>
  <c r="AI48" i="2"/>
  <c r="AK48" i="2"/>
  <c r="AN48" i="2"/>
  <c r="AR48" i="2"/>
  <c r="AZ48" i="2"/>
  <c r="BD48" i="2"/>
  <c r="L48" i="2"/>
  <c r="AA48" i="2"/>
  <c r="AM48" i="2"/>
  <c r="AQ48" i="2"/>
  <c r="AY48" i="2"/>
  <c r="BC48" i="2"/>
  <c r="BG48" i="2"/>
  <c r="AB48" i="2"/>
  <c r="AO48" i="2"/>
  <c r="AS48" i="2"/>
  <c r="BA48" i="2"/>
  <c r="BH48" i="2"/>
  <c r="BL48" i="2"/>
  <c r="AE48" i="2"/>
  <c r="AP48" i="2"/>
  <c r="AT48" i="2"/>
  <c r="BB48" i="2"/>
  <c r="BE48" i="2"/>
  <c r="BF48" i="2"/>
  <c r="O48" i="2"/>
  <c r="AF48" i="2"/>
  <c r="BJ48" i="2"/>
  <c r="BR48" i="2"/>
  <c r="BV48" i="2"/>
  <c r="AG48" i="2"/>
  <c r="BM48" i="2"/>
  <c r="BS48" i="2"/>
  <c r="BT48" i="2"/>
  <c r="BZ48" i="2"/>
  <c r="CD48" i="2"/>
  <c r="CH48" i="2"/>
  <c r="CP48" i="2"/>
  <c r="CT48" i="2"/>
  <c r="CX48" i="2"/>
  <c r="DF48" i="2"/>
  <c r="DJ48" i="2"/>
  <c r="BY48" i="2"/>
  <c r="CG48" i="2"/>
  <c r="CK48" i="2"/>
  <c r="CO48" i="2"/>
  <c r="CW48" i="2"/>
  <c r="DA48" i="2"/>
  <c r="DE48" i="2"/>
  <c r="DM48" i="2"/>
  <c r="DQ48" i="2"/>
  <c r="DU48" i="2"/>
  <c r="EC48" i="2"/>
  <c r="BO48" i="2"/>
  <c r="BP48" i="2"/>
  <c r="BW48" i="2"/>
  <c r="BX48" i="2"/>
  <c r="CB48" i="2"/>
  <c r="CJ48" i="2"/>
  <c r="CN48" i="2"/>
  <c r="CR48" i="2"/>
  <c r="CV48" i="2"/>
  <c r="CZ48" i="2"/>
  <c r="DD48" i="2"/>
  <c r="DH48" i="2"/>
  <c r="DL48" i="2"/>
  <c r="DP48" i="2"/>
  <c r="DT48" i="2"/>
  <c r="DX48" i="2"/>
  <c r="CE48" i="2"/>
  <c r="CM48" i="2"/>
  <c r="CU48" i="2"/>
  <c r="DC48" i="2"/>
  <c r="DN48" i="2"/>
  <c r="DR48" i="2"/>
  <c r="DV48" i="2"/>
  <c r="DZ48" i="2"/>
  <c r="ED48" i="2"/>
  <c r="EE48" i="2"/>
  <c r="EG48" i="2"/>
  <c r="EK48" i="2"/>
  <c r="EO48" i="2"/>
  <c r="ES48" i="2"/>
  <c r="EW48" i="2"/>
  <c r="FA48" i="2"/>
  <c r="FE48" i="2"/>
  <c r="FI48" i="2"/>
  <c r="FM48" i="2"/>
  <c r="FQ48" i="2"/>
  <c r="FU48" i="2"/>
  <c r="DK48" i="2"/>
  <c r="DO48" i="2"/>
  <c r="DS48" i="2"/>
  <c r="DW48" i="2"/>
  <c r="EF48" i="2"/>
  <c r="EJ48" i="2"/>
  <c r="EN48" i="2"/>
  <c r="ER48" i="2"/>
  <c r="EV48" i="2"/>
  <c r="EZ48" i="2"/>
  <c r="FD48" i="2"/>
  <c r="FH48" i="2"/>
  <c r="FL48" i="2"/>
  <c r="FP48" i="2"/>
  <c r="FT48" i="2"/>
  <c r="FX48" i="2"/>
  <c r="GB48" i="2"/>
  <c r="CA48" i="2"/>
  <c r="CI48" i="2"/>
  <c r="CQ48" i="2"/>
  <c r="CY48" i="2"/>
  <c r="DG48" i="2"/>
  <c r="EA48" i="2"/>
  <c r="EB48" i="2"/>
  <c r="EI48" i="2"/>
  <c r="EL48" i="2"/>
  <c r="EP48" i="2"/>
  <c r="ET48" i="2"/>
  <c r="EX48" i="2"/>
  <c r="FB48" i="2"/>
  <c r="FF48" i="2"/>
  <c r="FJ48" i="2"/>
  <c r="FN48" i="2"/>
  <c r="FR48" i="2"/>
  <c r="FV48" i="2"/>
  <c r="FW48" i="2"/>
  <c r="EM48" i="2"/>
  <c r="EQ48" i="2"/>
  <c r="EU48" i="2"/>
  <c r="EY48" i="2"/>
  <c r="FC48" i="2"/>
  <c r="FG48" i="2"/>
  <c r="FK48" i="2"/>
  <c r="FO48" i="2"/>
  <c r="FY48" i="2"/>
  <c r="FZ48" i="2"/>
  <c r="GA48" i="2"/>
  <c r="GG48" i="2"/>
  <c r="EH48" i="2"/>
  <c r="GF48" i="2"/>
  <c r="GJ48" i="2"/>
  <c r="FS48" i="2"/>
  <c r="GC48" i="2"/>
  <c r="GL48" i="2"/>
  <c r="GP48" i="2"/>
  <c r="GT48" i="2"/>
  <c r="GX48" i="2"/>
  <c r="HB48" i="2"/>
  <c r="HF48" i="2"/>
  <c r="HJ48" i="2"/>
  <c r="HN48" i="2"/>
  <c r="HR48" i="2"/>
  <c r="HV48" i="2"/>
  <c r="HZ48" i="2"/>
  <c r="ID48" i="2"/>
  <c r="IH48" i="2"/>
  <c r="IL48" i="2"/>
  <c r="IP48" i="2"/>
  <c r="IT48" i="2"/>
  <c r="GD48" i="2"/>
  <c r="GK48" i="2"/>
  <c r="GO48" i="2"/>
  <c r="GS48" i="2"/>
  <c r="GW48" i="2"/>
  <c r="HA48" i="2"/>
  <c r="HE48" i="2"/>
  <c r="HI48" i="2"/>
  <c r="HM48" i="2"/>
  <c r="HQ48" i="2"/>
  <c r="HU48" i="2"/>
  <c r="HY48" i="2"/>
  <c r="IC48" i="2"/>
  <c r="IG48" i="2"/>
  <c r="IK48" i="2"/>
  <c r="IO48" i="2"/>
  <c r="IS48" i="2"/>
  <c r="GH48" i="2"/>
  <c r="GI48" i="2"/>
  <c r="GM48" i="2"/>
  <c r="GQ48" i="2"/>
  <c r="GU48" i="2"/>
  <c r="GY48" i="2"/>
  <c r="HC48" i="2"/>
  <c r="HG48" i="2"/>
  <c r="HK48" i="2"/>
  <c r="HO48" i="2"/>
  <c r="HS48" i="2"/>
  <c r="HW48" i="2"/>
  <c r="IA48" i="2"/>
  <c r="IE48" i="2"/>
  <c r="II48" i="2"/>
  <c r="IM48" i="2"/>
  <c r="IQ48" i="2"/>
  <c r="GE48" i="2"/>
  <c r="IU48" i="2"/>
  <c r="IV48" i="2"/>
  <c r="IW48" i="2"/>
  <c r="JA48" i="2"/>
  <c r="JE48" i="2"/>
  <c r="JI48" i="2"/>
  <c r="JM48" i="2"/>
  <c r="JQ48" i="2"/>
  <c r="JU48" i="2"/>
  <c r="JY48" i="2"/>
  <c r="KC48" i="2"/>
  <c r="KG48" i="2"/>
  <c r="KK48" i="2"/>
  <c r="KO48" i="2"/>
  <c r="KS48" i="2"/>
  <c r="GR48" i="2"/>
  <c r="GZ48" i="2"/>
  <c r="HH48" i="2"/>
  <c r="HP48" i="2"/>
  <c r="HX48" i="2"/>
  <c r="IF48" i="2"/>
  <c r="IN48" i="2"/>
  <c r="IY48" i="2"/>
  <c r="JC48" i="2"/>
  <c r="JG48" i="2"/>
  <c r="JK48" i="2"/>
  <c r="JO48" i="2"/>
  <c r="JS48" i="2"/>
  <c r="JW48" i="2"/>
  <c r="KA48" i="2"/>
  <c r="KE48" i="2"/>
  <c r="KI48" i="2"/>
  <c r="KM48" i="2"/>
  <c r="KQ48" i="2"/>
  <c r="KU48" i="2"/>
  <c r="GN48" i="2"/>
  <c r="GV48" i="2"/>
  <c r="HD48" i="2"/>
  <c r="HL48" i="2"/>
  <c r="HT48" i="2"/>
  <c r="IB48" i="2"/>
  <c r="IJ48" i="2"/>
  <c r="IR48" i="2"/>
  <c r="IX48" i="2"/>
  <c r="JB48" i="2"/>
  <c r="JF48" i="2"/>
  <c r="JJ48" i="2"/>
  <c r="JN48" i="2"/>
  <c r="JR48" i="2"/>
  <c r="JV48" i="2"/>
  <c r="JZ48" i="2"/>
  <c r="IZ48" i="2"/>
  <c r="JH48" i="2"/>
  <c r="JP48" i="2"/>
  <c r="JX48" i="2"/>
  <c r="KW48" i="2"/>
  <c r="LA48" i="2"/>
  <c r="LE48" i="2"/>
  <c r="LI48" i="2"/>
  <c r="LM48" i="2"/>
  <c r="LQ48" i="2"/>
  <c r="LU48" i="2"/>
  <c r="LY48" i="2"/>
  <c r="MC48" i="2"/>
  <c r="MG48" i="2"/>
  <c r="MK48" i="2"/>
  <c r="MO48" i="2"/>
  <c r="MS48" i="2"/>
  <c r="MW48" i="2"/>
  <c r="NA48" i="2"/>
  <c r="NE48" i="2"/>
  <c r="NI48" i="2"/>
  <c r="NM48" i="2"/>
  <c r="NQ48" i="2"/>
  <c r="NU48" i="2"/>
  <c r="NY48" i="2"/>
  <c r="OC48" i="2"/>
  <c r="OG48" i="2"/>
  <c r="OK48" i="2"/>
  <c r="OO48" i="2"/>
  <c r="OS48" i="2"/>
  <c r="OW48" i="2"/>
  <c r="PA48" i="2"/>
  <c r="KZ48" i="2"/>
  <c r="LD48" i="2"/>
  <c r="LH48" i="2"/>
  <c r="LL48" i="2"/>
  <c r="LP48" i="2"/>
  <c r="LT48" i="2"/>
  <c r="LX48" i="2"/>
  <c r="MB48" i="2"/>
  <c r="MF48" i="2"/>
  <c r="MJ48" i="2"/>
  <c r="MN48" i="2"/>
  <c r="MR48" i="2"/>
  <c r="MV48" i="2"/>
  <c r="MZ48" i="2"/>
  <c r="ND48" i="2"/>
  <c r="NH48" i="2"/>
  <c r="NL48" i="2"/>
  <c r="NP48" i="2"/>
  <c r="NT48" i="2"/>
  <c r="NX48" i="2"/>
  <c r="OB48" i="2"/>
  <c r="OF48" i="2"/>
  <c r="OJ48" i="2"/>
  <c r="ON48" i="2"/>
  <c r="OR48" i="2"/>
  <c r="OV48" i="2"/>
  <c r="OZ48" i="2"/>
  <c r="PD48" i="2"/>
  <c r="PH48" i="2"/>
  <c r="PL48" i="2"/>
  <c r="JD48" i="2"/>
  <c r="JL48" i="2"/>
  <c r="JT48" i="2"/>
  <c r="KB48" i="2"/>
  <c r="KY48" i="2"/>
  <c r="LC48" i="2"/>
  <c r="LG48" i="2"/>
  <c r="LK48" i="2"/>
  <c r="LO48" i="2"/>
  <c r="LS48" i="2"/>
  <c r="LW48" i="2"/>
  <c r="MA48" i="2"/>
  <c r="ME48" i="2"/>
  <c r="MI48" i="2"/>
  <c r="MM48" i="2"/>
  <c r="MQ48" i="2"/>
  <c r="MU48" i="2"/>
  <c r="MY48" i="2"/>
  <c r="NC48" i="2"/>
  <c r="NG48" i="2"/>
  <c r="NK48" i="2"/>
  <c r="NO48" i="2"/>
  <c r="NS48" i="2"/>
  <c r="NW48" i="2"/>
  <c r="OA48" i="2"/>
  <c r="OE48" i="2"/>
  <c r="OI48" i="2"/>
  <c r="OM48" i="2"/>
  <c r="OQ48" i="2"/>
  <c r="OU48" i="2"/>
  <c r="OY48" i="2"/>
  <c r="KD48" i="2"/>
  <c r="KF48" i="2"/>
  <c r="KH48" i="2"/>
  <c r="KJ48" i="2"/>
  <c r="KL48" i="2"/>
  <c r="KN48" i="2"/>
  <c r="KP48" i="2"/>
  <c r="KR48" i="2"/>
  <c r="KT48" i="2"/>
  <c r="KV48" i="2"/>
  <c r="KX48" i="2"/>
  <c r="LB48" i="2"/>
  <c r="LF48" i="2"/>
  <c r="LJ48" i="2"/>
  <c r="LN48" i="2"/>
  <c r="LR48" i="2"/>
  <c r="LV48" i="2"/>
  <c r="LZ48" i="2"/>
  <c r="MD48" i="2"/>
  <c r="MH48" i="2"/>
  <c r="ML48" i="2"/>
  <c r="MP48" i="2"/>
  <c r="MT48" i="2"/>
  <c r="MX48" i="2"/>
  <c r="NB48" i="2"/>
  <c r="NF48" i="2"/>
  <c r="NJ48" i="2"/>
  <c r="NN48" i="2"/>
  <c r="NR48" i="2"/>
  <c r="NV48" i="2"/>
  <c r="NZ48" i="2"/>
  <c r="OD48" i="2"/>
  <c r="OH48" i="2"/>
  <c r="OL48" i="2"/>
  <c r="OP48" i="2"/>
  <c r="OT48" i="2"/>
  <c r="PB48" i="2"/>
  <c r="PI48" i="2"/>
  <c r="PJ48" i="2"/>
  <c r="PK48" i="2"/>
  <c r="PR48" i="2"/>
  <c r="PV48" i="2"/>
  <c r="PZ48" i="2"/>
  <c r="QD48" i="2"/>
  <c r="QH48" i="2"/>
  <c r="QL48" i="2"/>
  <c r="QP48" i="2"/>
  <c r="QT48" i="2"/>
  <c r="QX48" i="2"/>
  <c r="RB48" i="2"/>
  <c r="RF48" i="2"/>
  <c r="RJ48" i="2"/>
  <c r="RN48" i="2"/>
  <c r="RR48" i="2"/>
  <c r="RV48" i="2"/>
  <c r="RZ48" i="2"/>
  <c r="SD48" i="2"/>
  <c r="SH48" i="2"/>
  <c r="SL48" i="2"/>
  <c r="SP48" i="2"/>
  <c r="ST48" i="2"/>
  <c r="SX48" i="2"/>
  <c r="TB48" i="2"/>
  <c r="TF48" i="2"/>
  <c r="TJ48" i="2"/>
  <c r="TN48" i="2"/>
  <c r="PC48" i="2"/>
  <c r="PQ48" i="2"/>
  <c r="PU48" i="2"/>
  <c r="PY48" i="2"/>
  <c r="QC48" i="2"/>
  <c r="QG48" i="2"/>
  <c r="QK48" i="2"/>
  <c r="QO48" i="2"/>
  <c r="QS48" i="2"/>
  <c r="QW48" i="2"/>
  <c r="RA48" i="2"/>
  <c r="RE48" i="2"/>
  <c r="RI48" i="2"/>
  <c r="RM48" i="2"/>
  <c r="RQ48" i="2"/>
  <c r="RU48" i="2"/>
  <c r="RY48" i="2"/>
  <c r="SC48" i="2"/>
  <c r="SG48" i="2"/>
  <c r="SK48" i="2"/>
  <c r="SO48" i="2"/>
  <c r="SS48" i="2"/>
  <c r="SW48" i="2"/>
  <c r="TA48" i="2"/>
  <c r="TE48" i="2"/>
  <c r="TI48" i="2"/>
  <c r="TM48" i="2"/>
  <c r="TQ48" i="2"/>
  <c r="TU48" i="2"/>
  <c r="OX48" i="2"/>
  <c r="PE48" i="2"/>
  <c r="PF48" i="2"/>
  <c r="PG48" i="2"/>
  <c r="PM48" i="2"/>
  <c r="PN48" i="2"/>
  <c r="PP48" i="2"/>
  <c r="PT48" i="2"/>
  <c r="PX48" i="2"/>
  <c r="QB48" i="2"/>
  <c r="QF48" i="2"/>
  <c r="QJ48" i="2"/>
  <c r="QN48" i="2"/>
  <c r="QR48" i="2"/>
  <c r="QV48" i="2"/>
  <c r="QZ48" i="2"/>
  <c r="RD48" i="2"/>
  <c r="RH48" i="2"/>
  <c r="RL48" i="2"/>
  <c r="RP48" i="2"/>
  <c r="RT48" i="2"/>
  <c r="RX48" i="2"/>
  <c r="SB48" i="2"/>
  <c r="SF48" i="2"/>
  <c r="SJ48" i="2"/>
  <c r="SN48" i="2"/>
  <c r="SR48" i="2"/>
  <c r="SV48" i="2"/>
  <c r="SZ48" i="2"/>
  <c r="TD48" i="2"/>
  <c r="TH48" i="2"/>
  <c r="TL48" i="2"/>
  <c r="TP48" i="2"/>
  <c r="TT48" i="2"/>
  <c r="TX48" i="2"/>
  <c r="PO48" i="2"/>
  <c r="PS48" i="2"/>
  <c r="PW48" i="2"/>
  <c r="QA48" i="2"/>
  <c r="QE48" i="2"/>
  <c r="QI48" i="2"/>
  <c r="QM48" i="2"/>
  <c r="QQ48" i="2"/>
  <c r="QU48" i="2"/>
  <c r="QY48" i="2"/>
  <c r="RC48" i="2"/>
  <c r="RG48" i="2"/>
  <c r="RK48" i="2"/>
  <c r="RO48" i="2"/>
  <c r="RS48" i="2"/>
  <c r="RW48" i="2"/>
  <c r="SA48" i="2"/>
  <c r="SE48" i="2"/>
  <c r="SI48" i="2"/>
  <c r="SM48" i="2"/>
  <c r="SQ48" i="2"/>
  <c r="SU48" i="2"/>
  <c r="SY48" i="2"/>
  <c r="TC48" i="2"/>
  <c r="TG48" i="2"/>
  <c r="TK48" i="2"/>
  <c r="TO48" i="2"/>
  <c r="TS48" i="2"/>
  <c r="TW48" i="2"/>
  <c r="UA48" i="2"/>
  <c r="UE48" i="2"/>
  <c r="UI48" i="2"/>
  <c r="TV48" i="2"/>
  <c r="UF48" i="2"/>
  <c r="UG48" i="2"/>
  <c r="UH48" i="2"/>
  <c r="UL48" i="2"/>
  <c r="UP48" i="2"/>
  <c r="UT48" i="2"/>
  <c r="UX48" i="2"/>
  <c r="VB48" i="2"/>
  <c r="VF48" i="2"/>
  <c r="VJ48" i="2"/>
  <c r="VN48" i="2"/>
  <c r="VR48" i="2"/>
  <c r="VV48" i="2"/>
  <c r="VZ48" i="2"/>
  <c r="WD48" i="2"/>
  <c r="WH48" i="2"/>
  <c r="WL48" i="2"/>
  <c r="TY48" i="2"/>
  <c r="UK48" i="2"/>
  <c r="UO48" i="2"/>
  <c r="US48" i="2"/>
  <c r="UW48" i="2"/>
  <c r="VA48" i="2"/>
  <c r="VE48" i="2"/>
  <c r="VI48" i="2"/>
  <c r="VM48" i="2"/>
  <c r="VQ48" i="2"/>
  <c r="VU48" i="2"/>
  <c r="VY48" i="2"/>
  <c r="WC48" i="2"/>
  <c r="WG48" i="2"/>
  <c r="WK48" i="2"/>
  <c r="TR48" i="2"/>
  <c r="TZ48" i="2"/>
  <c r="UB48" i="2"/>
  <c r="UC48" i="2"/>
  <c r="UD48" i="2"/>
  <c r="UJ48" i="2"/>
  <c r="UN48" i="2"/>
  <c r="UR48" i="2"/>
  <c r="UV48" i="2"/>
  <c r="UZ48" i="2"/>
  <c r="VD48" i="2"/>
  <c r="VH48" i="2"/>
  <c r="VL48" i="2"/>
  <c r="VP48" i="2"/>
  <c r="VT48" i="2"/>
  <c r="VX48" i="2"/>
  <c r="WB48" i="2"/>
  <c r="WF48" i="2"/>
  <c r="WJ48" i="2"/>
  <c r="WN48" i="2"/>
  <c r="UM48" i="2"/>
  <c r="UQ48" i="2"/>
  <c r="UU48" i="2"/>
  <c r="UY48" i="2"/>
  <c r="VC48" i="2"/>
  <c r="VG48" i="2"/>
  <c r="VK48" i="2"/>
  <c r="VO48" i="2"/>
  <c r="VS48" i="2"/>
  <c r="VW48" i="2"/>
  <c r="WA48" i="2"/>
  <c r="WE48" i="2"/>
  <c r="WI48" i="2"/>
  <c r="WM48" i="2"/>
  <c r="AZ49" i="2"/>
  <c r="AR49" i="2"/>
  <c r="AK49" i="2"/>
  <c r="P49" i="2"/>
  <c r="AF49" i="2"/>
  <c r="U49" i="2"/>
  <c r="Z49" i="2"/>
  <c r="K49" i="2"/>
  <c r="W49" i="2"/>
  <c r="L49" i="2"/>
  <c r="BA54" i="2"/>
  <c r="AS54" i="2"/>
  <c r="AL54" i="2"/>
  <c r="Y54" i="2"/>
  <c r="AD54" i="2"/>
  <c r="V54" i="2"/>
  <c r="N54" i="2"/>
  <c r="AI54" i="2"/>
  <c r="AA54" i="2"/>
  <c r="S54" i="2"/>
  <c r="J54" i="2"/>
  <c r="R31" i="1"/>
  <c r="Q31" i="1" s="1"/>
  <c r="V27" i="1"/>
  <c r="D17" i="8" s="1"/>
  <c r="V17" i="1"/>
  <c r="D7" i="8" s="1"/>
  <c r="Q48" i="2"/>
  <c r="AD48" i="2"/>
  <c r="N48" i="2"/>
  <c r="AF55" i="2"/>
  <c r="P55" i="2"/>
  <c r="CF48" i="2"/>
  <c r="BQ48" i="2"/>
  <c r="DY48" i="2"/>
  <c r="DI48" i="2"/>
  <c r="CS48" i="2"/>
  <c r="CC48" i="2"/>
  <c r="DB48" i="2"/>
  <c r="CL48" i="2"/>
  <c r="BU48" i="2"/>
  <c r="BI48" i="2"/>
  <c r="BN48" i="2"/>
  <c r="BK48" i="2"/>
  <c r="AX48" i="2"/>
  <c r="W48" i="2"/>
  <c r="AW48" i="2"/>
  <c r="T48" i="2"/>
  <c r="AU48" i="2"/>
  <c r="S48" i="2"/>
  <c r="AV48" i="2"/>
  <c r="AJ48" i="2"/>
  <c r="AC48" i="2"/>
  <c r="M48" i="2"/>
  <c r="Z48" i="2"/>
  <c r="K48" i="2"/>
  <c r="AA55" i="2"/>
  <c r="J55" i="2"/>
  <c r="AB55" i="2"/>
  <c r="AL48" i="2"/>
  <c r="V48" i="2"/>
  <c r="C56" i="2"/>
  <c r="K56" i="2"/>
  <c r="AH56" i="2"/>
  <c r="AT56" i="2"/>
  <c r="O56" i="2"/>
  <c r="Z56" i="2"/>
  <c r="AL56" i="2"/>
  <c r="AR56" i="2"/>
  <c r="AZ56" i="2"/>
  <c r="BE56" i="2"/>
  <c r="BM56" i="2"/>
  <c r="BU56" i="2"/>
  <c r="AO56" i="2"/>
  <c r="AW56" i="2"/>
  <c r="BH56" i="2"/>
  <c r="BY56" i="2"/>
  <c r="CG56" i="2"/>
  <c r="CO56" i="2"/>
  <c r="CW56" i="2"/>
  <c r="DE56" i="2"/>
  <c r="BR56" i="2"/>
  <c r="BT56" i="2"/>
  <c r="CB56" i="2"/>
  <c r="CJ56" i="2"/>
  <c r="CR56" i="2"/>
  <c r="CZ56" i="2"/>
  <c r="DH56" i="2"/>
  <c r="DP56" i="2"/>
  <c r="DX56" i="2"/>
  <c r="EB56" i="2"/>
  <c r="CA56" i="2"/>
  <c r="CI56" i="2"/>
  <c r="CM56" i="2"/>
  <c r="CQ56" i="2"/>
  <c r="CY56" i="2"/>
  <c r="DC56" i="2"/>
  <c r="DG56" i="2"/>
  <c r="DO56" i="2"/>
  <c r="DS56" i="2"/>
  <c r="DW56" i="2"/>
  <c r="BL56" i="2"/>
  <c r="BV56" i="2"/>
  <c r="EF56" i="2"/>
  <c r="EJ56" i="2"/>
  <c r="EN56" i="2"/>
  <c r="ER56" i="2"/>
  <c r="EV56" i="2"/>
  <c r="EZ56" i="2"/>
  <c r="FD56" i="2"/>
  <c r="FH56" i="2"/>
  <c r="FL56" i="2"/>
  <c r="FP56" i="2"/>
  <c r="FT56" i="2"/>
  <c r="BZ56" i="2"/>
  <c r="CH56" i="2"/>
  <c r="CP56" i="2"/>
  <c r="CX56" i="2"/>
  <c r="DF56" i="2"/>
  <c r="EC56" i="2"/>
  <c r="ED56" i="2"/>
  <c r="EE56" i="2"/>
  <c r="EI56" i="2"/>
  <c r="EM56" i="2"/>
  <c r="EQ56" i="2"/>
  <c r="EU56" i="2"/>
  <c r="EY56" i="2"/>
  <c r="FC56" i="2"/>
  <c r="FG56" i="2"/>
  <c r="FK56" i="2"/>
  <c r="FO56" i="2"/>
  <c r="FS56" i="2"/>
  <c r="FW56" i="2"/>
  <c r="GA56" i="2"/>
  <c r="BP56" i="2"/>
  <c r="DM56" i="2"/>
  <c r="DQ56" i="2"/>
  <c r="DU56" i="2"/>
  <c r="DY56" i="2"/>
  <c r="EH56" i="2"/>
  <c r="BO56" i="2"/>
  <c r="BW56" i="2"/>
  <c r="CD56" i="2"/>
  <c r="CL56" i="2"/>
  <c r="CT56" i="2"/>
  <c r="DB56" i="2"/>
  <c r="DJ56" i="2"/>
  <c r="DN56" i="2"/>
  <c r="DR56" i="2"/>
  <c r="DV56" i="2"/>
  <c r="DZ56" i="2"/>
  <c r="EA56" i="2"/>
  <c r="EG56" i="2"/>
  <c r="EK56" i="2"/>
  <c r="EO56" i="2"/>
  <c r="ES56" i="2"/>
  <c r="EW56" i="2"/>
  <c r="FA56" i="2"/>
  <c r="FE56" i="2"/>
  <c r="FI56" i="2"/>
  <c r="FM56" i="2"/>
  <c r="FQ56" i="2"/>
  <c r="FU56" i="2"/>
  <c r="GF56" i="2"/>
  <c r="EL56" i="2"/>
  <c r="EP56" i="2"/>
  <c r="ET56" i="2"/>
  <c r="EX56" i="2"/>
  <c r="FB56" i="2"/>
  <c r="FF56" i="2"/>
  <c r="FJ56" i="2"/>
  <c r="FN56" i="2"/>
  <c r="FR56" i="2"/>
  <c r="FX56" i="2"/>
  <c r="FY56" i="2"/>
  <c r="FZ56" i="2"/>
  <c r="GE56" i="2"/>
  <c r="GI56" i="2"/>
  <c r="GC56" i="2"/>
  <c r="GG56" i="2"/>
  <c r="GH56" i="2"/>
  <c r="GK56" i="2"/>
  <c r="GO56" i="2"/>
  <c r="GS56" i="2"/>
  <c r="GW56" i="2"/>
  <c r="HA56" i="2"/>
  <c r="HE56" i="2"/>
  <c r="HI56" i="2"/>
  <c r="HM56" i="2"/>
  <c r="HQ56" i="2"/>
  <c r="HU56" i="2"/>
  <c r="HY56" i="2"/>
  <c r="IC56" i="2"/>
  <c r="IG56" i="2"/>
  <c r="IK56" i="2"/>
  <c r="IO56" i="2"/>
  <c r="IS56" i="2"/>
  <c r="GD56" i="2"/>
  <c r="GN56" i="2"/>
  <c r="GR56" i="2"/>
  <c r="GV56" i="2"/>
  <c r="GZ56" i="2"/>
  <c r="HD56" i="2"/>
  <c r="HH56" i="2"/>
  <c r="HL56" i="2"/>
  <c r="HP56" i="2"/>
  <c r="HT56" i="2"/>
  <c r="HX56" i="2"/>
  <c r="IB56" i="2"/>
  <c r="IF56" i="2"/>
  <c r="IJ56" i="2"/>
  <c r="IN56" i="2"/>
  <c r="IR56" i="2"/>
  <c r="GB56" i="2"/>
  <c r="GL56" i="2"/>
  <c r="GP56" i="2"/>
  <c r="GT56" i="2"/>
  <c r="GX56" i="2"/>
  <c r="HB56" i="2"/>
  <c r="HF56" i="2"/>
  <c r="HJ56" i="2"/>
  <c r="HN56" i="2"/>
  <c r="HR56" i="2"/>
  <c r="HV56" i="2"/>
  <c r="HZ56" i="2"/>
  <c r="ID56" i="2"/>
  <c r="IH56" i="2"/>
  <c r="IL56" i="2"/>
  <c r="IP56" i="2"/>
  <c r="FV56" i="2"/>
  <c r="GJ56" i="2"/>
  <c r="GQ56" i="2"/>
  <c r="GY56" i="2"/>
  <c r="HG56" i="2"/>
  <c r="HO56" i="2"/>
  <c r="HW56" i="2"/>
  <c r="IE56" i="2"/>
  <c r="IM56" i="2"/>
  <c r="IZ56" i="2"/>
  <c r="JD56" i="2"/>
  <c r="JH56" i="2"/>
  <c r="JL56" i="2"/>
  <c r="JP56" i="2"/>
  <c r="JT56" i="2"/>
  <c r="JX56" i="2"/>
  <c r="KB56" i="2"/>
  <c r="KF56" i="2"/>
  <c r="KJ56" i="2"/>
  <c r="KN56" i="2"/>
  <c r="KR56" i="2"/>
  <c r="IU56" i="2"/>
  <c r="IV56" i="2"/>
  <c r="GM56" i="2"/>
  <c r="GU56" i="2"/>
  <c r="HC56" i="2"/>
  <c r="HK56" i="2"/>
  <c r="HS56" i="2"/>
  <c r="IA56" i="2"/>
  <c r="II56" i="2"/>
  <c r="IQ56" i="2"/>
  <c r="IT56" i="2"/>
  <c r="IX56" i="2"/>
  <c r="JB56" i="2"/>
  <c r="JF56" i="2"/>
  <c r="JJ56" i="2"/>
  <c r="JN56" i="2"/>
  <c r="JR56" i="2"/>
  <c r="JV56" i="2"/>
  <c r="JZ56" i="2"/>
  <c r="KD56" i="2"/>
  <c r="KH56" i="2"/>
  <c r="KL56" i="2"/>
  <c r="KP56" i="2"/>
  <c r="KT56" i="2"/>
  <c r="IW56" i="2"/>
  <c r="JA56" i="2"/>
  <c r="JE56" i="2"/>
  <c r="JI56" i="2"/>
  <c r="JM56" i="2"/>
  <c r="JQ56" i="2"/>
  <c r="JU56" i="2"/>
  <c r="JY56" i="2"/>
  <c r="KV56" i="2"/>
  <c r="KZ56" i="2"/>
  <c r="LD56" i="2"/>
  <c r="LH56" i="2"/>
  <c r="LL56" i="2"/>
  <c r="LP56" i="2"/>
  <c r="LT56" i="2"/>
  <c r="LX56" i="2"/>
  <c r="MB56" i="2"/>
  <c r="MF56" i="2"/>
  <c r="MJ56" i="2"/>
  <c r="MN56" i="2"/>
  <c r="MR56" i="2"/>
  <c r="MV56" i="2"/>
  <c r="MZ56" i="2"/>
  <c r="ND56" i="2"/>
  <c r="NH56" i="2"/>
  <c r="NL56" i="2"/>
  <c r="NP56" i="2"/>
  <c r="NT56" i="2"/>
  <c r="NX56" i="2"/>
  <c r="OB56" i="2"/>
  <c r="OF56" i="2"/>
  <c r="OJ56" i="2"/>
  <c r="ON56" i="2"/>
  <c r="OR56" i="2"/>
  <c r="OV56" i="2"/>
  <c r="OZ56" i="2"/>
  <c r="JC56" i="2"/>
  <c r="JK56" i="2"/>
  <c r="JS56" i="2"/>
  <c r="KA56" i="2"/>
  <c r="KC56" i="2"/>
  <c r="KE56" i="2"/>
  <c r="KG56" i="2"/>
  <c r="KI56" i="2"/>
  <c r="KK56" i="2"/>
  <c r="KM56" i="2"/>
  <c r="KO56" i="2"/>
  <c r="KQ56" i="2"/>
  <c r="KS56" i="2"/>
  <c r="KU56" i="2"/>
  <c r="KY56" i="2"/>
  <c r="LC56" i="2"/>
  <c r="LG56" i="2"/>
  <c r="LK56" i="2"/>
  <c r="LO56" i="2"/>
  <c r="LS56" i="2"/>
  <c r="LW56" i="2"/>
  <c r="MA56" i="2"/>
  <c r="ME56" i="2"/>
  <c r="MI56" i="2"/>
  <c r="MM56" i="2"/>
  <c r="MQ56" i="2"/>
  <c r="MU56" i="2"/>
  <c r="MY56" i="2"/>
  <c r="NC56" i="2"/>
  <c r="NG56" i="2"/>
  <c r="NK56" i="2"/>
  <c r="NO56" i="2"/>
  <c r="NS56" i="2"/>
  <c r="NW56" i="2"/>
  <c r="OA56" i="2"/>
  <c r="OE56" i="2"/>
  <c r="OI56" i="2"/>
  <c r="OM56" i="2"/>
  <c r="OQ56" i="2"/>
  <c r="OU56" i="2"/>
  <c r="OY56" i="2"/>
  <c r="PC56" i="2"/>
  <c r="PG56" i="2"/>
  <c r="PK56" i="2"/>
  <c r="KX56" i="2"/>
  <c r="LB56" i="2"/>
  <c r="LF56" i="2"/>
  <c r="LJ56" i="2"/>
  <c r="LN56" i="2"/>
  <c r="LR56" i="2"/>
  <c r="LV56" i="2"/>
  <c r="LZ56" i="2"/>
  <c r="MD56" i="2"/>
  <c r="MH56" i="2"/>
  <c r="ML56" i="2"/>
  <c r="MP56" i="2"/>
  <c r="MT56" i="2"/>
  <c r="MX56" i="2"/>
  <c r="NB56" i="2"/>
  <c r="NF56" i="2"/>
  <c r="NJ56" i="2"/>
  <c r="NN56" i="2"/>
  <c r="NR56" i="2"/>
  <c r="NV56" i="2"/>
  <c r="NZ56" i="2"/>
  <c r="OD56" i="2"/>
  <c r="OH56" i="2"/>
  <c r="OL56" i="2"/>
  <c r="OP56" i="2"/>
  <c r="OT56" i="2"/>
  <c r="OX56" i="2"/>
  <c r="IY56" i="2"/>
  <c r="JG56" i="2"/>
  <c r="JO56" i="2"/>
  <c r="JW56" i="2"/>
  <c r="KW56" i="2"/>
  <c r="LA56" i="2"/>
  <c r="LE56" i="2"/>
  <c r="LI56" i="2"/>
  <c r="LM56" i="2"/>
  <c r="LQ56" i="2"/>
  <c r="LU56" i="2"/>
  <c r="LY56" i="2"/>
  <c r="MC56" i="2"/>
  <c r="MG56" i="2"/>
  <c r="MK56" i="2"/>
  <c r="MO56" i="2"/>
  <c r="MS56" i="2"/>
  <c r="MW56" i="2"/>
  <c r="NA56" i="2"/>
  <c r="NE56" i="2"/>
  <c r="NI56" i="2"/>
  <c r="NM56" i="2"/>
  <c r="NQ56" i="2"/>
  <c r="NU56" i="2"/>
  <c r="NY56" i="2"/>
  <c r="OC56" i="2"/>
  <c r="OG56" i="2"/>
  <c r="OK56" i="2"/>
  <c r="OO56" i="2"/>
  <c r="OS56" i="2"/>
  <c r="PQ56" i="2"/>
  <c r="PU56" i="2"/>
  <c r="PY56" i="2"/>
  <c r="QC56" i="2"/>
  <c r="QG56" i="2"/>
  <c r="QK56" i="2"/>
  <c r="QO56" i="2"/>
  <c r="QS56" i="2"/>
  <c r="QW56" i="2"/>
  <c r="RA56" i="2"/>
  <c r="RE56" i="2"/>
  <c r="RI56" i="2"/>
  <c r="RM56" i="2"/>
  <c r="RQ56" i="2"/>
  <c r="RU56" i="2"/>
  <c r="RY56" i="2"/>
  <c r="SC56" i="2"/>
  <c r="SG56" i="2"/>
  <c r="SK56" i="2"/>
  <c r="SO56" i="2"/>
  <c r="SS56" i="2"/>
  <c r="SW56" i="2"/>
  <c r="TA56" i="2"/>
  <c r="TE56" i="2"/>
  <c r="TI56" i="2"/>
  <c r="TM56" i="2"/>
  <c r="OW56" i="2"/>
  <c r="PH56" i="2"/>
  <c r="PI56" i="2"/>
  <c r="PJ56" i="2"/>
  <c r="PP56" i="2"/>
  <c r="PT56" i="2"/>
  <c r="PX56" i="2"/>
  <c r="QB56" i="2"/>
  <c r="QF56" i="2"/>
  <c r="QJ56" i="2"/>
  <c r="QN56" i="2"/>
  <c r="QR56" i="2"/>
  <c r="QV56" i="2"/>
  <c r="QZ56" i="2"/>
  <c r="RD56" i="2"/>
  <c r="RH56" i="2"/>
  <c r="RL56" i="2"/>
  <c r="RP56" i="2"/>
  <c r="RT56" i="2"/>
  <c r="RX56" i="2"/>
  <c r="SB56" i="2"/>
  <c r="SF56" i="2"/>
  <c r="SJ56" i="2"/>
  <c r="SN56" i="2"/>
  <c r="SR56" i="2"/>
  <c r="SV56" i="2"/>
  <c r="SZ56" i="2"/>
  <c r="TD56" i="2"/>
  <c r="TH56" i="2"/>
  <c r="TL56" i="2"/>
  <c r="TP56" i="2"/>
  <c r="TT56" i="2"/>
  <c r="PO56" i="2"/>
  <c r="PS56" i="2"/>
  <c r="PW56" i="2"/>
  <c r="QA56" i="2"/>
  <c r="QE56" i="2"/>
  <c r="QI56" i="2"/>
  <c r="QM56" i="2"/>
  <c r="QQ56" i="2"/>
  <c r="QU56" i="2"/>
  <c r="QY56" i="2"/>
  <c r="RC56" i="2"/>
  <c r="RG56" i="2"/>
  <c r="RK56" i="2"/>
  <c r="RO56" i="2"/>
  <c r="RS56" i="2"/>
  <c r="RW56" i="2"/>
  <c r="SA56" i="2"/>
  <c r="SE56" i="2"/>
  <c r="SI56" i="2"/>
  <c r="SM56" i="2"/>
  <c r="SQ56" i="2"/>
  <c r="SU56" i="2"/>
  <c r="SY56" i="2"/>
  <c r="TC56" i="2"/>
  <c r="TG56" i="2"/>
  <c r="TK56" i="2"/>
  <c r="TO56" i="2"/>
  <c r="TS56" i="2"/>
  <c r="TW56" i="2"/>
  <c r="PA56" i="2"/>
  <c r="PB56" i="2"/>
  <c r="PD56" i="2"/>
  <c r="PE56" i="2"/>
  <c r="PF56" i="2"/>
  <c r="PL56" i="2"/>
  <c r="PM56" i="2"/>
  <c r="PN56" i="2"/>
  <c r="PR56" i="2"/>
  <c r="PV56" i="2"/>
  <c r="PZ56" i="2"/>
  <c r="QD56" i="2"/>
  <c r="QH56" i="2"/>
  <c r="QL56" i="2"/>
  <c r="QP56" i="2"/>
  <c r="QT56" i="2"/>
  <c r="QX56" i="2"/>
  <c r="RB56" i="2"/>
  <c r="RF56" i="2"/>
  <c r="RJ56" i="2"/>
  <c r="RN56" i="2"/>
  <c r="RR56" i="2"/>
  <c r="RV56" i="2"/>
  <c r="RZ56" i="2"/>
  <c r="SD56" i="2"/>
  <c r="SH56" i="2"/>
  <c r="SL56" i="2"/>
  <c r="SP56" i="2"/>
  <c r="ST56" i="2"/>
  <c r="SX56" i="2"/>
  <c r="TB56" i="2"/>
  <c r="TF56" i="2"/>
  <c r="TJ56" i="2"/>
  <c r="TN56" i="2"/>
  <c r="TR56" i="2"/>
  <c r="TV56" i="2"/>
  <c r="TZ56" i="2"/>
  <c r="UD56" i="2"/>
  <c r="UH56" i="2"/>
  <c r="TY56" i="2"/>
  <c r="UK56" i="2"/>
  <c r="UO56" i="2"/>
  <c r="US56" i="2"/>
  <c r="UW56" i="2"/>
  <c r="VA56" i="2"/>
  <c r="VE56" i="2"/>
  <c r="VI56" i="2"/>
  <c r="VM56" i="2"/>
  <c r="VQ56" i="2"/>
  <c r="VU56" i="2"/>
  <c r="VY56" i="2"/>
  <c r="WC56" i="2"/>
  <c r="WG56" i="2"/>
  <c r="WK56" i="2"/>
  <c r="TQ56" i="2"/>
  <c r="UE56" i="2"/>
  <c r="UF56" i="2"/>
  <c r="UG56" i="2"/>
  <c r="UJ56" i="2"/>
  <c r="UN56" i="2"/>
  <c r="UR56" i="2"/>
  <c r="UV56" i="2"/>
  <c r="UZ56" i="2"/>
  <c r="VD56" i="2"/>
  <c r="VH56" i="2"/>
  <c r="VL56" i="2"/>
  <c r="VP56" i="2"/>
  <c r="VT56" i="2"/>
  <c r="VX56" i="2"/>
  <c r="WB56" i="2"/>
  <c r="WF56" i="2"/>
  <c r="WJ56" i="2"/>
  <c r="WN56" i="2"/>
  <c r="UM56" i="2"/>
  <c r="UQ56" i="2"/>
  <c r="UU56" i="2"/>
  <c r="UY56" i="2"/>
  <c r="VC56" i="2"/>
  <c r="VG56" i="2"/>
  <c r="VK56" i="2"/>
  <c r="VO56" i="2"/>
  <c r="VS56" i="2"/>
  <c r="VW56" i="2"/>
  <c r="WA56" i="2"/>
  <c r="WE56" i="2"/>
  <c r="WI56" i="2"/>
  <c r="WM56" i="2"/>
  <c r="TU56" i="2"/>
  <c r="TX56" i="2"/>
  <c r="UA56" i="2"/>
  <c r="UB56" i="2"/>
  <c r="UC56" i="2"/>
  <c r="UI56" i="2"/>
  <c r="UL56" i="2"/>
  <c r="UP56" i="2"/>
  <c r="UT56" i="2"/>
  <c r="UX56" i="2"/>
  <c r="VB56" i="2"/>
  <c r="VF56" i="2"/>
  <c r="VJ56" i="2"/>
  <c r="VN56" i="2"/>
  <c r="VR56" i="2"/>
  <c r="VV56" i="2"/>
  <c r="VZ56" i="2"/>
  <c r="WD56" i="2"/>
  <c r="WH56" i="2"/>
  <c r="WL56" i="2"/>
  <c r="BK56" i="2"/>
  <c r="BB56" i="2"/>
  <c r="AJ56" i="2"/>
  <c r="V56" i="2"/>
  <c r="AY56" i="2"/>
  <c r="AF56" i="2"/>
  <c r="J56" i="2"/>
  <c r="J60" i="2"/>
  <c r="P56" i="2"/>
  <c r="P60" i="2"/>
  <c r="P61" i="2"/>
  <c r="AC56" i="2"/>
  <c r="M56" i="2"/>
  <c r="DK56" i="2"/>
  <c r="CU56" i="2"/>
  <c r="CE56" i="2"/>
  <c r="DT56" i="2"/>
  <c r="DD56" i="2"/>
  <c r="CN56" i="2"/>
  <c r="BX56" i="2"/>
  <c r="DI56" i="2"/>
  <c r="CS56" i="2"/>
  <c r="CC56" i="2"/>
  <c r="BA56" i="2"/>
  <c r="W56" i="2"/>
  <c r="BI56" i="2"/>
  <c r="AV56" i="2"/>
  <c r="AV60" i="2"/>
  <c r="AV61" i="2"/>
  <c r="BJ56" i="2"/>
  <c r="BG56" i="2"/>
  <c r="AX56" i="2"/>
  <c r="AI56" i="2"/>
  <c r="N56" i="2"/>
  <c r="N60" i="2"/>
  <c r="AU56" i="2"/>
  <c r="AE56" i="2"/>
  <c r="AB56" i="2"/>
  <c r="AB60" i="2"/>
  <c r="L56" i="2"/>
  <c r="Y56" i="2"/>
  <c r="Y60" i="2"/>
  <c r="J57" i="2"/>
  <c r="C57" i="2"/>
  <c r="N57" i="2"/>
  <c r="R57" i="2"/>
  <c r="V57" i="2"/>
  <c r="Z57" i="2"/>
  <c r="Z60" i="2"/>
  <c r="Z61" i="2"/>
  <c r="AD57" i="2"/>
  <c r="AH57" i="2"/>
  <c r="AH60" i="2"/>
  <c r="AL57" i="2"/>
  <c r="K57" i="2"/>
  <c r="M57" i="2"/>
  <c r="M60" i="2"/>
  <c r="Q57" i="2"/>
  <c r="U57" i="2"/>
  <c r="Y57" i="2"/>
  <c r="AC57" i="2"/>
  <c r="P57" i="2"/>
  <c r="X57" i="2"/>
  <c r="AN57" i="2"/>
  <c r="AR57" i="2"/>
  <c r="AR60" i="2"/>
  <c r="AR61" i="2"/>
  <c r="AV57" i="2"/>
  <c r="AZ57" i="2"/>
  <c r="AZ60" i="2"/>
  <c r="S57" i="2"/>
  <c r="AA57" i="2"/>
  <c r="AE57" i="2"/>
  <c r="AF57" i="2"/>
  <c r="AG57" i="2"/>
  <c r="AM57" i="2"/>
  <c r="AQ57" i="2"/>
  <c r="AU57" i="2"/>
  <c r="AY57" i="2"/>
  <c r="BC57" i="2"/>
  <c r="O57" i="2"/>
  <c r="O60" i="2"/>
  <c r="O61" i="2"/>
  <c r="W57" i="2"/>
  <c r="W60" i="2"/>
  <c r="W61" i="2"/>
  <c r="AO57" i="2"/>
  <c r="AO60" i="2"/>
  <c r="AS57" i="2"/>
  <c r="AW57" i="2"/>
  <c r="AW60" i="2"/>
  <c r="BA57" i="2"/>
  <c r="BF57" i="2"/>
  <c r="BH57" i="2"/>
  <c r="BH60" i="2"/>
  <c r="BL57" i="2"/>
  <c r="BL60" i="2"/>
  <c r="BL61" i="2"/>
  <c r="BG57" i="2"/>
  <c r="BK57" i="2"/>
  <c r="T57" i="2"/>
  <c r="AB57" i="2"/>
  <c r="AI57" i="2"/>
  <c r="AJ57" i="2"/>
  <c r="AK57" i="2"/>
  <c r="AP57" i="2"/>
  <c r="AT57" i="2"/>
  <c r="AT60" i="2"/>
  <c r="AT61" i="2"/>
  <c r="AX57" i="2"/>
  <c r="BB57" i="2"/>
  <c r="BJ57" i="2"/>
  <c r="BN57" i="2"/>
  <c r="BR57" i="2"/>
  <c r="BR60" i="2"/>
  <c r="BV57" i="2"/>
  <c r="BV60" i="2"/>
  <c r="L57" i="2"/>
  <c r="BD57" i="2"/>
  <c r="BE57" i="2"/>
  <c r="BE60" i="2"/>
  <c r="BI57" i="2"/>
  <c r="BI60" i="2"/>
  <c r="BI61" i="2"/>
  <c r="BO57" i="2"/>
  <c r="BO60" i="2"/>
  <c r="BP57" i="2"/>
  <c r="BP60" i="2"/>
  <c r="BP61" i="2"/>
  <c r="BW57" i="2"/>
  <c r="BW60" i="2"/>
  <c r="BW61" i="2"/>
  <c r="BZ57" i="2"/>
  <c r="BZ60" i="2"/>
  <c r="CD57" i="2"/>
  <c r="CD60" i="2"/>
  <c r="CH57" i="2"/>
  <c r="CH60" i="2"/>
  <c r="CH61" i="2"/>
  <c r="CL57" i="2"/>
  <c r="CP57" i="2"/>
  <c r="CP60" i="2"/>
  <c r="CT57" i="2"/>
  <c r="CT60" i="2"/>
  <c r="CX57" i="2"/>
  <c r="CX60" i="2"/>
  <c r="CX61" i="2"/>
  <c r="DB57" i="2"/>
  <c r="DB60" i="2"/>
  <c r="DB61" i="2"/>
  <c r="DF57" i="2"/>
  <c r="DF60" i="2"/>
  <c r="BQ57" i="2"/>
  <c r="BY57" i="2"/>
  <c r="BY60" i="2"/>
  <c r="CC57" i="2"/>
  <c r="CC60" i="2"/>
  <c r="CC61" i="2"/>
  <c r="CG57" i="2"/>
  <c r="CG60" i="2"/>
  <c r="CK57" i="2"/>
  <c r="CO57" i="2"/>
  <c r="CO60" i="2"/>
  <c r="CS57" i="2"/>
  <c r="CW57" i="2"/>
  <c r="CW60" i="2"/>
  <c r="CW61" i="2"/>
  <c r="DA57" i="2"/>
  <c r="DE57" i="2"/>
  <c r="DE60" i="2"/>
  <c r="DI57" i="2"/>
  <c r="DM57" i="2"/>
  <c r="DM60" i="2"/>
  <c r="DM61" i="2"/>
  <c r="DQ57" i="2"/>
  <c r="DQ60" i="2"/>
  <c r="DU57" i="2"/>
  <c r="DU60" i="2"/>
  <c r="DY57" i="2"/>
  <c r="DY60" i="2"/>
  <c r="DY61" i="2"/>
  <c r="EC57" i="2"/>
  <c r="EC60" i="2"/>
  <c r="BS57" i="2"/>
  <c r="BT57" i="2"/>
  <c r="BT60" i="2"/>
  <c r="BT61" i="2"/>
  <c r="BX57" i="2"/>
  <c r="CB57" i="2"/>
  <c r="CB60" i="2"/>
  <c r="CB61" i="2"/>
  <c r="CF57" i="2"/>
  <c r="CJ57" i="2"/>
  <c r="CJ60" i="2"/>
  <c r="CN57" i="2"/>
  <c r="CR57" i="2"/>
  <c r="CR60" i="2"/>
  <c r="CV57" i="2"/>
  <c r="CZ57" i="2"/>
  <c r="CZ60" i="2"/>
  <c r="DD57" i="2"/>
  <c r="DH57" i="2"/>
  <c r="DH60" i="2"/>
  <c r="DH61" i="2"/>
  <c r="DL57" i="2"/>
  <c r="DP57" i="2"/>
  <c r="DP60" i="2"/>
  <c r="DP61" i="2"/>
  <c r="DT57" i="2"/>
  <c r="DX57" i="2"/>
  <c r="DX60" i="2"/>
  <c r="DJ57" i="2"/>
  <c r="DJ60" i="2"/>
  <c r="DN57" i="2"/>
  <c r="DN60" i="2"/>
  <c r="DN61" i="2"/>
  <c r="DR57" i="2"/>
  <c r="DR60" i="2"/>
  <c r="DR61" i="2"/>
  <c r="DV57" i="2"/>
  <c r="DV60" i="2"/>
  <c r="DZ57" i="2"/>
  <c r="DZ60" i="2"/>
  <c r="EA57" i="2"/>
  <c r="EA60" i="2"/>
  <c r="EA61" i="2"/>
  <c r="EG57" i="2"/>
  <c r="EG60" i="2"/>
  <c r="EK57" i="2"/>
  <c r="EK60" i="2"/>
  <c r="EK61" i="2"/>
  <c r="EO57" i="2"/>
  <c r="EO60" i="2"/>
  <c r="ES57" i="2"/>
  <c r="ES60" i="2"/>
  <c r="ES61" i="2"/>
  <c r="EW57" i="2"/>
  <c r="EW60" i="2"/>
  <c r="FA57" i="2"/>
  <c r="FA60" i="2"/>
  <c r="FA61" i="2"/>
  <c r="FE57" i="2"/>
  <c r="FE60" i="2"/>
  <c r="FI57" i="2"/>
  <c r="FI60" i="2"/>
  <c r="FI61" i="2"/>
  <c r="FM57" i="2"/>
  <c r="FM60" i="2"/>
  <c r="FQ57" i="2"/>
  <c r="FQ60" i="2"/>
  <c r="FQ61" i="2"/>
  <c r="FU57" i="2"/>
  <c r="FU60" i="2"/>
  <c r="BU57" i="2"/>
  <c r="CA57" i="2"/>
  <c r="CA60" i="2"/>
  <c r="CI57" i="2"/>
  <c r="CI60" i="2"/>
  <c r="CI61" i="2"/>
  <c r="CQ57" i="2"/>
  <c r="CQ60" i="2"/>
  <c r="CQ61" i="2"/>
  <c r="CY57" i="2"/>
  <c r="CY60" i="2"/>
  <c r="CY61" i="2"/>
  <c r="DG57" i="2"/>
  <c r="DG60" i="2"/>
  <c r="EB57" i="2"/>
  <c r="EB60" i="2"/>
  <c r="EF57" i="2"/>
  <c r="EF60" i="2"/>
  <c r="EJ57" i="2"/>
  <c r="EJ60" i="2"/>
  <c r="EN57" i="2"/>
  <c r="EN60" i="2"/>
  <c r="EN61" i="2"/>
  <c r="ER57" i="2"/>
  <c r="ER60" i="2"/>
  <c r="ER61" i="2"/>
  <c r="EV57" i="2"/>
  <c r="EV60" i="2"/>
  <c r="EZ57" i="2"/>
  <c r="EZ60" i="2"/>
  <c r="FD57" i="2"/>
  <c r="FD60" i="2"/>
  <c r="FD61" i="2"/>
  <c r="FH57" i="2"/>
  <c r="FH60" i="2"/>
  <c r="FH61" i="2"/>
  <c r="FL57" i="2"/>
  <c r="FL60" i="2"/>
  <c r="FP57" i="2"/>
  <c r="FP60" i="2"/>
  <c r="FT57" i="2"/>
  <c r="FT60" i="2"/>
  <c r="FT61" i="2"/>
  <c r="FX57" i="2"/>
  <c r="FX60" i="2"/>
  <c r="GB57" i="2"/>
  <c r="GB60" i="2"/>
  <c r="BM57" i="2"/>
  <c r="BM60" i="2"/>
  <c r="BM61" i="2"/>
  <c r="DK57" i="2"/>
  <c r="DO57" i="2"/>
  <c r="DO60" i="2"/>
  <c r="DS57" i="2"/>
  <c r="DS60" i="2"/>
  <c r="DW57" i="2"/>
  <c r="DW60" i="2"/>
  <c r="DW61" i="2"/>
  <c r="ED57" i="2"/>
  <c r="ED60" i="2"/>
  <c r="ED61" i="2"/>
  <c r="EE57" i="2"/>
  <c r="EE60" i="2"/>
  <c r="CE57" i="2"/>
  <c r="CM57" i="2"/>
  <c r="CM60" i="2"/>
  <c r="CM61" i="2"/>
  <c r="CU57" i="2"/>
  <c r="DC57" i="2"/>
  <c r="DC60" i="2"/>
  <c r="EL57" i="2"/>
  <c r="EL60" i="2"/>
  <c r="EP57" i="2"/>
  <c r="EP60" i="2"/>
  <c r="EP61" i="2"/>
  <c r="ET57" i="2"/>
  <c r="ET60" i="2"/>
  <c r="ET61" i="2"/>
  <c r="EX57" i="2"/>
  <c r="EX60" i="2"/>
  <c r="EX61" i="2"/>
  <c r="FB57" i="2"/>
  <c r="FB60" i="2"/>
  <c r="FF57" i="2"/>
  <c r="FF60" i="2"/>
  <c r="FF61" i="2"/>
  <c r="FJ57" i="2"/>
  <c r="FJ60" i="2"/>
  <c r="FJ61" i="2"/>
  <c r="FN57" i="2"/>
  <c r="FN60" i="2"/>
  <c r="FN61" i="2"/>
  <c r="FR57" i="2"/>
  <c r="FR60" i="2"/>
  <c r="EH57" i="2"/>
  <c r="EH60" i="2"/>
  <c r="EH61" i="2"/>
  <c r="EI57" i="2"/>
  <c r="EI60" i="2"/>
  <c r="EI61" i="2"/>
  <c r="EM57" i="2"/>
  <c r="EM60" i="2"/>
  <c r="EM61" i="2"/>
  <c r="EQ57" i="2"/>
  <c r="EQ60" i="2"/>
  <c r="EU57" i="2"/>
  <c r="EU60" i="2"/>
  <c r="EY57" i="2"/>
  <c r="EY60" i="2"/>
  <c r="EY61" i="2"/>
  <c r="FC57" i="2"/>
  <c r="FC60" i="2"/>
  <c r="FC61" i="2"/>
  <c r="FG57" i="2"/>
  <c r="FG60" i="2"/>
  <c r="FK57" i="2"/>
  <c r="FK60" i="2"/>
  <c r="FO57" i="2"/>
  <c r="FO60" i="2"/>
  <c r="FO61" i="2"/>
  <c r="FS57" i="2"/>
  <c r="FS60" i="2"/>
  <c r="FS61" i="2"/>
  <c r="FV57" i="2"/>
  <c r="FV60" i="2"/>
  <c r="FV61" i="2"/>
  <c r="GC57" i="2"/>
  <c r="GC60" i="2"/>
  <c r="GC61" i="2"/>
  <c r="GD57" i="2"/>
  <c r="GD60" i="2"/>
  <c r="FW57" i="2"/>
  <c r="FW60" i="2"/>
  <c r="FW61" i="2"/>
  <c r="GF57" i="2"/>
  <c r="GF60" i="2"/>
  <c r="GJ57" i="2"/>
  <c r="GJ60" i="2"/>
  <c r="GL57" i="2"/>
  <c r="GL60" i="2"/>
  <c r="GP57" i="2"/>
  <c r="GP60" i="2"/>
  <c r="GT57" i="2"/>
  <c r="GT60" i="2"/>
  <c r="GX57" i="2"/>
  <c r="GX60" i="2"/>
  <c r="GX61" i="2"/>
  <c r="HB57" i="2"/>
  <c r="HB60" i="2"/>
  <c r="HF57" i="2"/>
  <c r="HF60" i="2"/>
  <c r="HJ57" i="2"/>
  <c r="HJ60" i="2"/>
  <c r="HN57" i="2"/>
  <c r="HN60" i="2"/>
  <c r="HN61" i="2"/>
  <c r="HR57" i="2"/>
  <c r="HR60" i="2"/>
  <c r="HV57" i="2"/>
  <c r="HV60" i="2"/>
  <c r="HZ57" i="2"/>
  <c r="HZ60" i="2"/>
  <c r="ID57" i="2"/>
  <c r="ID60" i="2"/>
  <c r="ID61" i="2"/>
  <c r="IH57" i="2"/>
  <c r="IH60" i="2"/>
  <c r="IL57" i="2"/>
  <c r="IL60" i="2"/>
  <c r="IP57" i="2"/>
  <c r="IP60" i="2"/>
  <c r="IT57" i="2"/>
  <c r="IT60" i="2"/>
  <c r="IT61" i="2"/>
  <c r="FY57" i="2"/>
  <c r="FY60" i="2"/>
  <c r="FY61" i="2"/>
  <c r="FZ57" i="2"/>
  <c r="FZ60" i="2"/>
  <c r="GG57" i="2"/>
  <c r="GG60" i="2"/>
  <c r="GG61" i="2"/>
  <c r="GH57" i="2"/>
  <c r="GH60" i="2"/>
  <c r="GH61" i="2"/>
  <c r="GK57" i="2"/>
  <c r="GK60" i="2"/>
  <c r="GK61" i="2"/>
  <c r="GO57" i="2"/>
  <c r="GO60" i="2"/>
  <c r="GO61" i="2"/>
  <c r="GS57" i="2"/>
  <c r="GS60" i="2"/>
  <c r="GW57" i="2"/>
  <c r="GW60" i="2"/>
  <c r="HA57" i="2"/>
  <c r="HA60" i="2"/>
  <c r="HA61" i="2"/>
  <c r="HE57" i="2"/>
  <c r="HE60" i="2"/>
  <c r="HE61" i="2"/>
  <c r="HI57" i="2"/>
  <c r="HI60" i="2"/>
  <c r="HI61" i="2"/>
  <c r="HM57" i="2"/>
  <c r="HM60" i="2"/>
  <c r="HQ57" i="2"/>
  <c r="HQ60" i="2"/>
  <c r="HQ61" i="2"/>
  <c r="HU57" i="2"/>
  <c r="HU60" i="2"/>
  <c r="HU61" i="2"/>
  <c r="HY57" i="2"/>
  <c r="HY60" i="2"/>
  <c r="IC57" i="2"/>
  <c r="IC60" i="2"/>
  <c r="IG57" i="2"/>
  <c r="IG60" i="2"/>
  <c r="IG61" i="2"/>
  <c r="IK57" i="2"/>
  <c r="IK60" i="2"/>
  <c r="IK61" i="2"/>
  <c r="IO57" i="2"/>
  <c r="IO60" i="2"/>
  <c r="IO61" i="2"/>
  <c r="IS57" i="2"/>
  <c r="IS60" i="2"/>
  <c r="GE57" i="2"/>
  <c r="GE60" i="2"/>
  <c r="GE61" i="2"/>
  <c r="GM57" i="2"/>
  <c r="GM60" i="2"/>
  <c r="GM61" i="2"/>
  <c r="GQ57" i="2"/>
  <c r="GQ60" i="2"/>
  <c r="GU57" i="2"/>
  <c r="GU60" i="2"/>
  <c r="GU61" i="2"/>
  <c r="GY57" i="2"/>
  <c r="GY60" i="2"/>
  <c r="GY61" i="2"/>
  <c r="HC57" i="2"/>
  <c r="HC60" i="2"/>
  <c r="HC61" i="2"/>
  <c r="HG57" i="2"/>
  <c r="HG60" i="2"/>
  <c r="HK57" i="2"/>
  <c r="HK60" i="2"/>
  <c r="HK61" i="2"/>
  <c r="HO57" i="2"/>
  <c r="HO60" i="2"/>
  <c r="HO61" i="2"/>
  <c r="HS57" i="2"/>
  <c r="HS60" i="2"/>
  <c r="HS61" i="2"/>
  <c r="HW57" i="2"/>
  <c r="HW60" i="2"/>
  <c r="IA57" i="2"/>
  <c r="IA60" i="2"/>
  <c r="IA61" i="2"/>
  <c r="IE57" i="2"/>
  <c r="IE60" i="2"/>
  <c r="IE61" i="2"/>
  <c r="II57" i="2"/>
  <c r="II60" i="2"/>
  <c r="II61" i="2"/>
  <c r="IM57" i="2"/>
  <c r="IM60" i="2"/>
  <c r="IQ57" i="2"/>
  <c r="IQ60" i="2"/>
  <c r="IQ61" i="2"/>
  <c r="GR57" i="2"/>
  <c r="GR60" i="2"/>
  <c r="GR61" i="2"/>
  <c r="GZ57" i="2"/>
  <c r="GZ60" i="2"/>
  <c r="HH57" i="2"/>
  <c r="HH60" i="2"/>
  <c r="HH61" i="2"/>
  <c r="HP57" i="2"/>
  <c r="HP60" i="2"/>
  <c r="HX57" i="2"/>
  <c r="HX60" i="2"/>
  <c r="HX61" i="2"/>
  <c r="IF57" i="2"/>
  <c r="IF60" i="2"/>
  <c r="IN57" i="2"/>
  <c r="IN60" i="2"/>
  <c r="IN61" i="2"/>
  <c r="IW57" i="2"/>
  <c r="IW60" i="2"/>
  <c r="IW61" i="2"/>
  <c r="JA57" i="2"/>
  <c r="JA60" i="2"/>
  <c r="JE57" i="2"/>
  <c r="JE60" i="2"/>
  <c r="JE61" i="2"/>
  <c r="JI57" i="2"/>
  <c r="JI60" i="2"/>
  <c r="JM57" i="2"/>
  <c r="JM60" i="2"/>
  <c r="JQ57" i="2"/>
  <c r="JQ60" i="2"/>
  <c r="JQ61" i="2"/>
  <c r="JU57" i="2"/>
  <c r="JU60" i="2"/>
  <c r="JY57" i="2"/>
  <c r="JY60" i="2"/>
  <c r="KC57" i="2"/>
  <c r="KC60" i="2"/>
  <c r="KG57" i="2"/>
  <c r="KG60" i="2"/>
  <c r="KG61" i="2"/>
  <c r="KK57" i="2"/>
  <c r="KK60" i="2"/>
  <c r="KO57" i="2"/>
  <c r="KO60" i="2"/>
  <c r="KS57" i="2"/>
  <c r="KS60" i="2"/>
  <c r="GI57" i="2"/>
  <c r="GI60" i="2"/>
  <c r="GI61" i="2"/>
  <c r="GA57" i="2"/>
  <c r="GA60" i="2"/>
  <c r="GA61" i="2"/>
  <c r="GN57" i="2"/>
  <c r="GN60" i="2"/>
  <c r="GV57" i="2"/>
  <c r="GV60" i="2"/>
  <c r="GV61" i="2"/>
  <c r="HD57" i="2"/>
  <c r="HD60" i="2"/>
  <c r="HL57" i="2"/>
  <c r="HL60" i="2"/>
  <c r="HL61" i="2"/>
  <c r="HT57" i="2"/>
  <c r="HT60" i="2"/>
  <c r="IB57" i="2"/>
  <c r="IB60" i="2"/>
  <c r="IB61" i="2"/>
  <c r="IJ57" i="2"/>
  <c r="IJ60" i="2"/>
  <c r="IR57" i="2"/>
  <c r="IR60" i="2"/>
  <c r="IR61" i="2"/>
  <c r="IU57" i="2"/>
  <c r="IU60" i="2"/>
  <c r="IV57" i="2"/>
  <c r="IV60" i="2"/>
  <c r="IY57" i="2"/>
  <c r="IY60" i="2"/>
  <c r="IY61" i="2"/>
  <c r="JC57" i="2"/>
  <c r="JC60" i="2"/>
  <c r="JC61" i="2"/>
  <c r="JG57" i="2"/>
  <c r="JG60" i="2"/>
  <c r="JG61" i="2"/>
  <c r="JK57" i="2"/>
  <c r="JK60" i="2"/>
  <c r="JO57" i="2"/>
  <c r="JO60" i="2"/>
  <c r="JO61" i="2"/>
  <c r="JS57" i="2"/>
  <c r="JS60" i="2"/>
  <c r="JS61" i="2"/>
  <c r="JW57" i="2"/>
  <c r="JW60" i="2"/>
  <c r="JW61" i="2"/>
  <c r="KA57" i="2"/>
  <c r="KA60" i="2"/>
  <c r="KE57" i="2"/>
  <c r="KE60" i="2"/>
  <c r="KE61" i="2"/>
  <c r="KI57" i="2"/>
  <c r="KI60" i="2"/>
  <c r="KI61" i="2"/>
  <c r="KM57" i="2"/>
  <c r="KM60" i="2"/>
  <c r="KQ57" i="2"/>
  <c r="KQ60" i="2"/>
  <c r="KU57" i="2"/>
  <c r="KU60" i="2"/>
  <c r="KU61" i="2"/>
  <c r="IX57" i="2"/>
  <c r="IX60" i="2"/>
  <c r="IX61" i="2"/>
  <c r="JB57" i="2"/>
  <c r="JB60" i="2"/>
  <c r="JF57" i="2"/>
  <c r="JF60" i="2"/>
  <c r="JJ57" i="2"/>
  <c r="JJ60" i="2"/>
  <c r="JJ61" i="2"/>
  <c r="JN57" i="2"/>
  <c r="JN60" i="2"/>
  <c r="JN61" i="2"/>
  <c r="JR57" i="2"/>
  <c r="JR60" i="2"/>
  <c r="JV57" i="2"/>
  <c r="JV60" i="2"/>
  <c r="JZ57" i="2"/>
  <c r="JZ60" i="2"/>
  <c r="JZ61" i="2"/>
  <c r="KD57" i="2"/>
  <c r="KD60" i="2"/>
  <c r="KD61" i="2"/>
  <c r="KF57" i="2"/>
  <c r="KF60" i="2"/>
  <c r="KH57" i="2"/>
  <c r="KH60" i="2"/>
  <c r="KJ57" i="2"/>
  <c r="KJ60" i="2"/>
  <c r="KJ61" i="2"/>
  <c r="KL57" i="2"/>
  <c r="KL60" i="2"/>
  <c r="KL61" i="2"/>
  <c r="KN57" i="2"/>
  <c r="KN60" i="2"/>
  <c r="KP57" i="2"/>
  <c r="KP60" i="2"/>
  <c r="KP61" i="2"/>
  <c r="KR57" i="2"/>
  <c r="KR60" i="2"/>
  <c r="KR61" i="2"/>
  <c r="KT57" i="2"/>
  <c r="KT60" i="2"/>
  <c r="KT61" i="2"/>
  <c r="KW57" i="2"/>
  <c r="KW60" i="2"/>
  <c r="KW61" i="2"/>
  <c r="LA57" i="2"/>
  <c r="LA60" i="2"/>
  <c r="LE57" i="2"/>
  <c r="LE60" i="2"/>
  <c r="LI57" i="2"/>
  <c r="LI60" i="2"/>
  <c r="LI61" i="2"/>
  <c r="LM57" i="2"/>
  <c r="LM60" i="2"/>
  <c r="LQ57" i="2"/>
  <c r="LQ60" i="2"/>
  <c r="LU57" i="2"/>
  <c r="LU60" i="2"/>
  <c r="LY57" i="2"/>
  <c r="LY60" i="2"/>
  <c r="LY61" i="2"/>
  <c r="MC57" i="2"/>
  <c r="MC60" i="2"/>
  <c r="MG57" i="2"/>
  <c r="MG60" i="2"/>
  <c r="MK57" i="2"/>
  <c r="MK60" i="2"/>
  <c r="MO57" i="2"/>
  <c r="MO60" i="2"/>
  <c r="MO61" i="2"/>
  <c r="MS57" i="2"/>
  <c r="MS60" i="2"/>
  <c r="MW57" i="2"/>
  <c r="MW60" i="2"/>
  <c r="NA57" i="2"/>
  <c r="NA60" i="2"/>
  <c r="NE57" i="2"/>
  <c r="NE60" i="2"/>
  <c r="NE61" i="2"/>
  <c r="NI57" i="2"/>
  <c r="NI60" i="2"/>
  <c r="NM57" i="2"/>
  <c r="NM60" i="2"/>
  <c r="NQ57" i="2"/>
  <c r="NQ60" i="2"/>
  <c r="NU57" i="2"/>
  <c r="NU60" i="2"/>
  <c r="NU61" i="2"/>
  <c r="NY57" i="2"/>
  <c r="NY60" i="2"/>
  <c r="OC57" i="2"/>
  <c r="OC60" i="2"/>
  <c r="OG57" i="2"/>
  <c r="OG60" i="2"/>
  <c r="OK57" i="2"/>
  <c r="OK60" i="2"/>
  <c r="OK61" i="2"/>
  <c r="OO57" i="2"/>
  <c r="OO60" i="2"/>
  <c r="OS57" i="2"/>
  <c r="OS60" i="2"/>
  <c r="OW57" i="2"/>
  <c r="OW60" i="2"/>
  <c r="PA57" i="2"/>
  <c r="PA60" i="2"/>
  <c r="PA61" i="2"/>
  <c r="JD57" i="2"/>
  <c r="JD60" i="2"/>
  <c r="JL57" i="2"/>
  <c r="JL60" i="2"/>
  <c r="JL61" i="2"/>
  <c r="JT57" i="2"/>
  <c r="JT60" i="2"/>
  <c r="JT61" i="2"/>
  <c r="KB57" i="2"/>
  <c r="KB60" i="2"/>
  <c r="KB61" i="2"/>
  <c r="KV57" i="2"/>
  <c r="KV60" i="2"/>
  <c r="KZ57" i="2"/>
  <c r="KZ60" i="2"/>
  <c r="KZ61" i="2"/>
  <c r="LD57" i="2"/>
  <c r="LD60" i="2"/>
  <c r="LD61" i="2"/>
  <c r="LH57" i="2"/>
  <c r="LH60" i="2"/>
  <c r="LL57" i="2"/>
  <c r="LL60" i="2"/>
  <c r="LP57" i="2"/>
  <c r="LP60" i="2"/>
  <c r="LP61" i="2"/>
  <c r="LT57" i="2"/>
  <c r="LT60" i="2"/>
  <c r="LT61" i="2"/>
  <c r="LX57" i="2"/>
  <c r="LX60" i="2"/>
  <c r="MB57" i="2"/>
  <c r="MB60" i="2"/>
  <c r="MF57" i="2"/>
  <c r="MF60" i="2"/>
  <c r="MF61" i="2"/>
  <c r="MJ57" i="2"/>
  <c r="MJ60" i="2"/>
  <c r="MJ61" i="2"/>
  <c r="MN57" i="2"/>
  <c r="MN60" i="2"/>
  <c r="MR57" i="2"/>
  <c r="MR60" i="2"/>
  <c r="MV57" i="2"/>
  <c r="MV60" i="2"/>
  <c r="MV61" i="2"/>
  <c r="MZ57" i="2"/>
  <c r="MZ60" i="2"/>
  <c r="MZ61" i="2"/>
  <c r="ND57" i="2"/>
  <c r="ND60" i="2"/>
  <c r="NH57" i="2"/>
  <c r="NH60" i="2"/>
  <c r="NL57" i="2"/>
  <c r="NL60" i="2"/>
  <c r="NL61" i="2"/>
  <c r="NP57" i="2"/>
  <c r="NP60" i="2"/>
  <c r="NP61" i="2"/>
  <c r="NT57" i="2"/>
  <c r="NT60" i="2"/>
  <c r="NX57" i="2"/>
  <c r="NX60" i="2"/>
  <c r="OB57" i="2"/>
  <c r="OB60" i="2"/>
  <c r="OB61" i="2"/>
  <c r="OF57" i="2"/>
  <c r="OF60" i="2"/>
  <c r="OF61" i="2"/>
  <c r="OJ57" i="2"/>
  <c r="OJ60" i="2"/>
  <c r="ON57" i="2"/>
  <c r="ON60" i="2"/>
  <c r="OR57" i="2"/>
  <c r="OR60" i="2"/>
  <c r="OR61" i="2"/>
  <c r="OV57" i="2"/>
  <c r="OV60" i="2"/>
  <c r="OV61" i="2"/>
  <c r="OZ57" i="2"/>
  <c r="OZ60" i="2"/>
  <c r="PD57" i="2"/>
  <c r="PD60" i="2"/>
  <c r="PH57" i="2"/>
  <c r="PH60" i="2"/>
  <c r="PL57" i="2"/>
  <c r="PL60" i="2"/>
  <c r="KY57" i="2"/>
  <c r="KY60" i="2"/>
  <c r="LC57" i="2"/>
  <c r="LC60" i="2"/>
  <c r="LG57" i="2"/>
  <c r="LG60" i="2"/>
  <c r="LG61" i="2"/>
  <c r="LK57" i="2"/>
  <c r="LK60" i="2"/>
  <c r="LK61" i="2"/>
  <c r="LO57" i="2"/>
  <c r="LO60" i="2"/>
  <c r="LS57" i="2"/>
  <c r="LS60" i="2"/>
  <c r="LW57" i="2"/>
  <c r="LW60" i="2"/>
  <c r="LW61" i="2"/>
  <c r="MA57" i="2"/>
  <c r="MA60" i="2"/>
  <c r="MA61" i="2"/>
  <c r="ME57" i="2"/>
  <c r="ME60" i="2"/>
  <c r="MI57" i="2"/>
  <c r="MI60" i="2"/>
  <c r="MM57" i="2"/>
  <c r="MM60" i="2"/>
  <c r="MM61" i="2"/>
  <c r="MQ57" i="2"/>
  <c r="MQ60" i="2"/>
  <c r="MQ61" i="2"/>
  <c r="MU57" i="2"/>
  <c r="MU60" i="2"/>
  <c r="MY57" i="2"/>
  <c r="MY60" i="2"/>
  <c r="NC57" i="2"/>
  <c r="NC60" i="2"/>
  <c r="NC61" i="2"/>
  <c r="NG57" i="2"/>
  <c r="NG60" i="2"/>
  <c r="NG61" i="2"/>
  <c r="NK57" i="2"/>
  <c r="NK60" i="2"/>
  <c r="NO57" i="2"/>
  <c r="NO60" i="2"/>
  <c r="NS57" i="2"/>
  <c r="NS60" i="2"/>
  <c r="NS61" i="2"/>
  <c r="NW57" i="2"/>
  <c r="NW60" i="2"/>
  <c r="NW61" i="2"/>
  <c r="OA57" i="2"/>
  <c r="OA60" i="2"/>
  <c r="OE57" i="2"/>
  <c r="OE60" i="2"/>
  <c r="OI57" i="2"/>
  <c r="OI60" i="2"/>
  <c r="OI61" i="2"/>
  <c r="OM57" i="2"/>
  <c r="OM60" i="2"/>
  <c r="OM61" i="2"/>
  <c r="OQ57" i="2"/>
  <c r="OQ60" i="2"/>
  <c r="OU57" i="2"/>
  <c r="OU60" i="2"/>
  <c r="OY57" i="2"/>
  <c r="OY60" i="2"/>
  <c r="IZ57" i="2"/>
  <c r="IZ60" i="2"/>
  <c r="IZ61" i="2"/>
  <c r="JH57" i="2"/>
  <c r="JH60" i="2"/>
  <c r="JH61" i="2"/>
  <c r="JP57" i="2"/>
  <c r="JP60" i="2"/>
  <c r="JX57" i="2"/>
  <c r="JX60" i="2"/>
  <c r="JX61" i="2"/>
  <c r="KX57" i="2"/>
  <c r="KX60" i="2"/>
  <c r="KX61" i="2"/>
  <c r="LB57" i="2"/>
  <c r="LB60" i="2"/>
  <c r="LB61" i="2"/>
  <c r="LF57" i="2"/>
  <c r="LF60" i="2"/>
  <c r="LF61" i="2"/>
  <c r="LJ57" i="2"/>
  <c r="LJ60" i="2"/>
  <c r="LN57" i="2"/>
  <c r="LN60" i="2"/>
  <c r="LN61" i="2"/>
  <c r="LR57" i="2"/>
  <c r="LR60" i="2"/>
  <c r="LR61" i="2"/>
  <c r="LV57" i="2"/>
  <c r="LV60" i="2"/>
  <c r="LV61" i="2"/>
  <c r="LZ57" i="2"/>
  <c r="LZ60" i="2"/>
  <c r="MD57" i="2"/>
  <c r="MD60" i="2"/>
  <c r="MD61" i="2"/>
  <c r="MH57" i="2"/>
  <c r="MH60" i="2"/>
  <c r="MH61" i="2"/>
  <c r="ML57" i="2"/>
  <c r="ML60" i="2"/>
  <c r="ML61" i="2"/>
  <c r="MP57" i="2"/>
  <c r="MP60" i="2"/>
  <c r="MT57" i="2"/>
  <c r="MT60" i="2"/>
  <c r="MT61" i="2"/>
  <c r="MX57" i="2"/>
  <c r="MX60" i="2"/>
  <c r="MX61" i="2"/>
  <c r="NB57" i="2"/>
  <c r="NB60" i="2"/>
  <c r="NB61" i="2"/>
  <c r="NF57" i="2"/>
  <c r="NF60" i="2"/>
  <c r="NJ57" i="2"/>
  <c r="NJ60" i="2"/>
  <c r="NJ61" i="2"/>
  <c r="NN57" i="2"/>
  <c r="NN60" i="2"/>
  <c r="NN61" i="2"/>
  <c r="NR57" i="2"/>
  <c r="NR60" i="2"/>
  <c r="NR61" i="2"/>
  <c r="NV57" i="2"/>
  <c r="NV60" i="2"/>
  <c r="NZ57" i="2"/>
  <c r="NZ60" i="2"/>
  <c r="NZ61" i="2"/>
  <c r="OD57" i="2"/>
  <c r="OD60" i="2"/>
  <c r="OD61" i="2"/>
  <c r="OH57" i="2"/>
  <c r="OH60" i="2"/>
  <c r="OH61" i="2"/>
  <c r="OL57" i="2"/>
  <c r="OL60" i="2"/>
  <c r="OP57" i="2"/>
  <c r="OP60" i="2"/>
  <c r="OP61" i="2"/>
  <c r="PB57" i="2"/>
  <c r="PB60" i="2"/>
  <c r="PB61" i="2"/>
  <c r="PE57" i="2"/>
  <c r="PE60" i="2"/>
  <c r="PE61" i="2"/>
  <c r="PF57" i="2"/>
  <c r="PF60" i="2"/>
  <c r="PM57" i="2"/>
  <c r="PM60" i="2"/>
  <c r="PM61" i="2"/>
  <c r="PN57" i="2"/>
  <c r="PN60" i="2"/>
  <c r="PR57" i="2"/>
  <c r="PR60" i="2"/>
  <c r="PV57" i="2"/>
  <c r="PV60" i="2"/>
  <c r="PZ57" i="2"/>
  <c r="PZ60" i="2"/>
  <c r="PZ61" i="2"/>
  <c r="QD57" i="2"/>
  <c r="QD60" i="2"/>
  <c r="QH57" i="2"/>
  <c r="QH60" i="2"/>
  <c r="QL57" i="2"/>
  <c r="QL60" i="2"/>
  <c r="QP57" i="2"/>
  <c r="QP60" i="2"/>
  <c r="QP61" i="2"/>
  <c r="QT57" i="2"/>
  <c r="QT60" i="2"/>
  <c r="QX57" i="2"/>
  <c r="QX60" i="2"/>
  <c r="RB57" i="2"/>
  <c r="RB60" i="2"/>
  <c r="RF57" i="2"/>
  <c r="RF60" i="2"/>
  <c r="RF61" i="2"/>
  <c r="RJ57" i="2"/>
  <c r="RJ60" i="2"/>
  <c r="RN57" i="2"/>
  <c r="RN60" i="2"/>
  <c r="RR57" i="2"/>
  <c r="RR60" i="2"/>
  <c r="RV57" i="2"/>
  <c r="RV60" i="2"/>
  <c r="RV61" i="2"/>
  <c r="RZ57" i="2"/>
  <c r="RZ60" i="2"/>
  <c r="SD57" i="2"/>
  <c r="SD60" i="2"/>
  <c r="SH57" i="2"/>
  <c r="SH60" i="2"/>
  <c r="SL57" i="2"/>
  <c r="SL60" i="2"/>
  <c r="SL61" i="2"/>
  <c r="SP57" i="2"/>
  <c r="SP60" i="2"/>
  <c r="ST57" i="2"/>
  <c r="ST60" i="2"/>
  <c r="SX57" i="2"/>
  <c r="SX60" i="2"/>
  <c r="TB57" i="2"/>
  <c r="TB60" i="2"/>
  <c r="TB61" i="2"/>
  <c r="TF57" i="2"/>
  <c r="TF60" i="2"/>
  <c r="TJ57" i="2"/>
  <c r="TJ60" i="2"/>
  <c r="TN57" i="2"/>
  <c r="TN60" i="2"/>
  <c r="OX57" i="2"/>
  <c r="OX60" i="2"/>
  <c r="OX61" i="2"/>
  <c r="PG57" i="2"/>
  <c r="PG60" i="2"/>
  <c r="PG61" i="2"/>
  <c r="PQ57" i="2"/>
  <c r="PQ60" i="2"/>
  <c r="PQ61" i="2"/>
  <c r="PU57" i="2"/>
  <c r="PU60" i="2"/>
  <c r="PY57" i="2"/>
  <c r="PY60" i="2"/>
  <c r="QC57" i="2"/>
  <c r="QC60" i="2"/>
  <c r="QC61" i="2"/>
  <c r="QG57" i="2"/>
  <c r="QG60" i="2"/>
  <c r="QG61" i="2"/>
  <c r="QK57" i="2"/>
  <c r="QK60" i="2"/>
  <c r="QO57" i="2"/>
  <c r="QO60" i="2"/>
  <c r="QS57" i="2"/>
  <c r="QS60" i="2"/>
  <c r="QS61" i="2"/>
  <c r="QW57" i="2"/>
  <c r="QW60" i="2"/>
  <c r="QW61" i="2"/>
  <c r="RA57" i="2"/>
  <c r="RA60" i="2"/>
  <c r="RE57" i="2"/>
  <c r="RE60" i="2"/>
  <c r="RI57" i="2"/>
  <c r="RI60" i="2"/>
  <c r="RI61" i="2"/>
  <c r="RM57" i="2"/>
  <c r="RM60" i="2"/>
  <c r="RM61" i="2"/>
  <c r="RQ57" i="2"/>
  <c r="RQ60" i="2"/>
  <c r="RU57" i="2"/>
  <c r="RU60" i="2"/>
  <c r="RY57" i="2"/>
  <c r="RY60" i="2"/>
  <c r="RY61" i="2"/>
  <c r="SC57" i="2"/>
  <c r="SC60" i="2"/>
  <c r="SC61" i="2"/>
  <c r="SG57" i="2"/>
  <c r="SG60" i="2"/>
  <c r="SK57" i="2"/>
  <c r="SK60" i="2"/>
  <c r="SO57" i="2"/>
  <c r="SO60" i="2"/>
  <c r="SO61" i="2"/>
  <c r="SS57" i="2"/>
  <c r="SS60" i="2"/>
  <c r="SS61" i="2"/>
  <c r="SW57" i="2"/>
  <c r="SW60" i="2"/>
  <c r="TA57" i="2"/>
  <c r="TA60" i="2"/>
  <c r="TE57" i="2"/>
  <c r="TE60" i="2"/>
  <c r="TE61" i="2"/>
  <c r="TI57" i="2"/>
  <c r="TI60" i="2"/>
  <c r="TI61" i="2"/>
  <c r="TM57" i="2"/>
  <c r="TM60" i="2"/>
  <c r="TQ57" i="2"/>
  <c r="TQ60" i="2"/>
  <c r="TU57" i="2"/>
  <c r="TU60" i="2"/>
  <c r="TU61" i="2"/>
  <c r="PI57" i="2"/>
  <c r="PI60" i="2"/>
  <c r="PJ57" i="2"/>
  <c r="PJ60" i="2"/>
  <c r="PJ61" i="2"/>
  <c r="PP57" i="2"/>
  <c r="PP60" i="2"/>
  <c r="PT57" i="2"/>
  <c r="PT60" i="2"/>
  <c r="PX57" i="2"/>
  <c r="PX60" i="2"/>
  <c r="QB57" i="2"/>
  <c r="QB60" i="2"/>
  <c r="QB61" i="2"/>
  <c r="QF57" i="2"/>
  <c r="QF60" i="2"/>
  <c r="QJ57" i="2"/>
  <c r="QJ60" i="2"/>
  <c r="QN57" i="2"/>
  <c r="QN60" i="2"/>
  <c r="QR57" i="2"/>
  <c r="QR60" i="2"/>
  <c r="QR61" i="2"/>
  <c r="QV57" i="2"/>
  <c r="QV60" i="2"/>
  <c r="QZ57" i="2"/>
  <c r="QZ60" i="2"/>
  <c r="RD57" i="2"/>
  <c r="RD60" i="2"/>
  <c r="RH57" i="2"/>
  <c r="RH60" i="2"/>
  <c r="RH61" i="2"/>
  <c r="RL57" i="2"/>
  <c r="RL60" i="2"/>
  <c r="RP57" i="2"/>
  <c r="RP60" i="2"/>
  <c r="RT57" i="2"/>
  <c r="RT60" i="2"/>
  <c r="RX57" i="2"/>
  <c r="RX60" i="2"/>
  <c r="RX61" i="2"/>
  <c r="SB57" i="2"/>
  <c r="SB60" i="2"/>
  <c r="SF57" i="2"/>
  <c r="SF60" i="2"/>
  <c r="SJ57" i="2"/>
  <c r="SJ60" i="2"/>
  <c r="SN57" i="2"/>
  <c r="SN60" i="2"/>
  <c r="SN61" i="2"/>
  <c r="SR57" i="2"/>
  <c r="SR60" i="2"/>
  <c r="SV57" i="2"/>
  <c r="SV60" i="2"/>
  <c r="SZ57" i="2"/>
  <c r="SZ60" i="2"/>
  <c r="TD57" i="2"/>
  <c r="TD60" i="2"/>
  <c r="TD61" i="2"/>
  <c r="TH57" i="2"/>
  <c r="TH60" i="2"/>
  <c r="TL57" i="2"/>
  <c r="TL60" i="2"/>
  <c r="TP57" i="2"/>
  <c r="TP60" i="2"/>
  <c r="TT57" i="2"/>
  <c r="TT60" i="2"/>
  <c r="TT61" i="2"/>
  <c r="TX57" i="2"/>
  <c r="TX60" i="2"/>
  <c r="OT57" i="2"/>
  <c r="OT60" i="2"/>
  <c r="OT61" i="2"/>
  <c r="PC57" i="2"/>
  <c r="PC60" i="2"/>
  <c r="PC61" i="2"/>
  <c r="PK57" i="2"/>
  <c r="PK60" i="2"/>
  <c r="PK61" i="2"/>
  <c r="PO57" i="2"/>
  <c r="PO60" i="2"/>
  <c r="PO61" i="2"/>
  <c r="PS57" i="2"/>
  <c r="PS60" i="2"/>
  <c r="PS61" i="2"/>
  <c r="PW57" i="2"/>
  <c r="PW60" i="2"/>
  <c r="PW61" i="2"/>
  <c r="QA57" i="2"/>
  <c r="QA60" i="2"/>
  <c r="QE57" i="2"/>
  <c r="QE60" i="2"/>
  <c r="QE61" i="2"/>
  <c r="QI57" i="2"/>
  <c r="QI60" i="2"/>
  <c r="QI61" i="2"/>
  <c r="QM57" i="2"/>
  <c r="QM60" i="2"/>
  <c r="QM61" i="2"/>
  <c r="QQ57" i="2"/>
  <c r="QQ60" i="2"/>
  <c r="QU57" i="2"/>
  <c r="QU60" i="2"/>
  <c r="QU61" i="2"/>
  <c r="QY57" i="2"/>
  <c r="QY60" i="2"/>
  <c r="QY61" i="2"/>
  <c r="RC57" i="2"/>
  <c r="RC60" i="2"/>
  <c r="RC61" i="2"/>
  <c r="RG57" i="2"/>
  <c r="RG60" i="2"/>
  <c r="RK57" i="2"/>
  <c r="RK60" i="2"/>
  <c r="RK61" i="2"/>
  <c r="RO57" i="2"/>
  <c r="RO60" i="2"/>
  <c r="RO61" i="2"/>
  <c r="RS57" i="2"/>
  <c r="RS60" i="2"/>
  <c r="RS61" i="2"/>
  <c r="RW57" i="2"/>
  <c r="RW60" i="2"/>
  <c r="SA57" i="2"/>
  <c r="SA60" i="2"/>
  <c r="SA61" i="2"/>
  <c r="SE57" i="2"/>
  <c r="SE60" i="2"/>
  <c r="SE61" i="2"/>
  <c r="SI57" i="2"/>
  <c r="SI60" i="2"/>
  <c r="SI61" i="2"/>
  <c r="SM57" i="2"/>
  <c r="SM60" i="2"/>
  <c r="SQ57" i="2"/>
  <c r="SQ60" i="2"/>
  <c r="SQ61" i="2"/>
  <c r="SU57" i="2"/>
  <c r="SU60" i="2"/>
  <c r="SU61" i="2"/>
  <c r="SY57" i="2"/>
  <c r="SY60" i="2"/>
  <c r="SY61" i="2"/>
  <c r="TC57" i="2"/>
  <c r="TC60" i="2"/>
  <c r="TG57" i="2"/>
  <c r="TG60" i="2"/>
  <c r="TG61" i="2"/>
  <c r="TK57" i="2"/>
  <c r="TK60" i="2"/>
  <c r="TK61" i="2"/>
  <c r="TO57" i="2"/>
  <c r="TO60" i="2"/>
  <c r="TO61" i="2"/>
  <c r="TS57" i="2"/>
  <c r="TS60" i="2"/>
  <c r="TW57" i="2"/>
  <c r="TW60" i="2"/>
  <c r="TW61" i="2"/>
  <c r="UA57" i="2"/>
  <c r="UA60" i="2"/>
  <c r="UA61" i="2"/>
  <c r="UE57" i="2"/>
  <c r="UE60" i="2"/>
  <c r="UI57" i="2"/>
  <c r="UI60" i="2"/>
  <c r="UI61" i="2"/>
  <c r="UB57" i="2"/>
  <c r="UB60" i="2"/>
  <c r="UC57" i="2"/>
  <c r="UC60" i="2"/>
  <c r="UC61" i="2"/>
  <c r="UL57" i="2"/>
  <c r="UL60" i="2"/>
  <c r="UL61" i="2"/>
  <c r="UP57" i="2"/>
  <c r="UP60" i="2"/>
  <c r="UT57" i="2"/>
  <c r="UT60" i="2"/>
  <c r="UX57" i="2"/>
  <c r="UX60" i="2"/>
  <c r="UX61" i="2"/>
  <c r="VB57" i="2"/>
  <c r="VB60" i="2"/>
  <c r="VB61" i="2"/>
  <c r="VF57" i="2"/>
  <c r="VF60" i="2"/>
  <c r="VJ57" i="2"/>
  <c r="VJ60" i="2"/>
  <c r="VN57" i="2"/>
  <c r="VN60" i="2"/>
  <c r="VR57" i="2"/>
  <c r="VR60" i="2"/>
  <c r="VR61" i="2"/>
  <c r="VV57" i="2"/>
  <c r="VV60" i="2"/>
  <c r="VZ57" i="2"/>
  <c r="VZ60" i="2"/>
  <c r="WD57" i="2"/>
  <c r="WD60" i="2"/>
  <c r="WD61" i="2"/>
  <c r="WH57" i="2"/>
  <c r="WH60" i="2"/>
  <c r="WH61" i="2"/>
  <c r="WL57" i="2"/>
  <c r="WL60" i="2"/>
  <c r="TR57" i="2"/>
  <c r="TR60" i="2"/>
  <c r="TR61" i="2"/>
  <c r="TY57" i="2"/>
  <c r="TY60" i="2"/>
  <c r="TY61" i="2"/>
  <c r="UD57" i="2"/>
  <c r="UD60" i="2"/>
  <c r="UK57" i="2"/>
  <c r="UK60" i="2"/>
  <c r="UO57" i="2"/>
  <c r="UO60" i="2"/>
  <c r="UO61" i="2"/>
  <c r="US57" i="2"/>
  <c r="US60" i="2"/>
  <c r="UW57" i="2"/>
  <c r="UW60" i="2"/>
  <c r="VA57" i="2"/>
  <c r="VA60" i="2"/>
  <c r="VE57" i="2"/>
  <c r="VE60" i="2"/>
  <c r="VE61" i="2"/>
  <c r="VI57" i="2"/>
  <c r="VI60" i="2"/>
  <c r="VM57" i="2"/>
  <c r="VM60" i="2"/>
  <c r="VQ57" i="2"/>
  <c r="VQ60" i="2"/>
  <c r="VU57" i="2"/>
  <c r="VU60" i="2"/>
  <c r="VU61" i="2"/>
  <c r="VY57" i="2"/>
  <c r="VY60" i="2"/>
  <c r="WC57" i="2"/>
  <c r="WC60" i="2"/>
  <c r="WG57" i="2"/>
  <c r="WG60" i="2"/>
  <c r="WK57" i="2"/>
  <c r="WK60" i="2"/>
  <c r="WK61" i="2"/>
  <c r="UF57" i="2"/>
  <c r="UF60" i="2"/>
  <c r="UF61" i="2"/>
  <c r="UG57" i="2"/>
  <c r="UG60" i="2"/>
  <c r="UJ57" i="2"/>
  <c r="UJ60" i="2"/>
  <c r="UJ61" i="2"/>
  <c r="UN57" i="2"/>
  <c r="UN60" i="2"/>
  <c r="UR57" i="2"/>
  <c r="UR60" i="2"/>
  <c r="UR61" i="2"/>
  <c r="UV57" i="2"/>
  <c r="UV60" i="2"/>
  <c r="UV61" i="2"/>
  <c r="UZ57" i="2"/>
  <c r="UZ60" i="2"/>
  <c r="VD57" i="2"/>
  <c r="VD60" i="2"/>
  <c r="VH57" i="2"/>
  <c r="VH60" i="2"/>
  <c r="VH61" i="2"/>
  <c r="VL57" i="2"/>
  <c r="VL60" i="2"/>
  <c r="VL61" i="2"/>
  <c r="VP57" i="2"/>
  <c r="VP60" i="2"/>
  <c r="VT57" i="2"/>
  <c r="VT60" i="2"/>
  <c r="VX57" i="2"/>
  <c r="VX60" i="2"/>
  <c r="VX61" i="2"/>
  <c r="WB57" i="2"/>
  <c r="WB60" i="2"/>
  <c r="WB61" i="2"/>
  <c r="WF57" i="2"/>
  <c r="WF60" i="2"/>
  <c r="WJ57" i="2"/>
  <c r="WJ60" i="2"/>
  <c r="WN57" i="2"/>
  <c r="WN60" i="2"/>
  <c r="WN61" i="2"/>
  <c r="TV57" i="2"/>
  <c r="TV60" i="2"/>
  <c r="TV61" i="2"/>
  <c r="TZ57" i="2"/>
  <c r="TZ60" i="2"/>
  <c r="UH57" i="2"/>
  <c r="UH60" i="2"/>
  <c r="UM57" i="2"/>
  <c r="UM60" i="2"/>
  <c r="UM61" i="2"/>
  <c r="UQ57" i="2"/>
  <c r="UQ60" i="2"/>
  <c r="UQ61" i="2"/>
  <c r="UU57" i="2"/>
  <c r="UU60" i="2"/>
  <c r="UY57" i="2"/>
  <c r="UY60" i="2"/>
  <c r="UY61" i="2"/>
  <c r="VC57" i="2"/>
  <c r="VC60" i="2"/>
  <c r="VC61" i="2"/>
  <c r="VG57" i="2"/>
  <c r="VG60" i="2"/>
  <c r="VG61" i="2"/>
  <c r="VK57" i="2"/>
  <c r="VK60" i="2"/>
  <c r="VO57" i="2"/>
  <c r="VO60" i="2"/>
  <c r="VO61" i="2"/>
  <c r="VS57" i="2"/>
  <c r="VS60" i="2"/>
  <c r="VS61" i="2"/>
  <c r="VW57" i="2"/>
  <c r="VW60" i="2"/>
  <c r="VW61" i="2"/>
  <c r="WA57" i="2"/>
  <c r="WA60" i="2"/>
  <c r="WE57" i="2"/>
  <c r="WE60" i="2"/>
  <c r="WE61" i="2"/>
  <c r="WI57" i="2"/>
  <c r="WI60" i="2"/>
  <c r="WI61" i="2"/>
  <c r="WM57" i="2"/>
  <c r="WM60" i="2"/>
  <c r="WM61" i="2"/>
  <c r="AQ56" i="2"/>
  <c r="AQ60" i="2"/>
  <c r="AQ61" i="2"/>
  <c r="AA56" i="2"/>
  <c r="AA60" i="2"/>
  <c r="AA61" i="2"/>
  <c r="X56" i="2"/>
  <c r="X60" i="2"/>
  <c r="AK56" i="2"/>
  <c r="AK60" i="2"/>
  <c r="U56" i="2"/>
  <c r="U60" i="2"/>
  <c r="V60" i="2"/>
  <c r="AC60" i="2"/>
  <c r="AU60" i="2"/>
  <c r="AX60" i="2"/>
  <c r="BU60" i="2"/>
  <c r="CS60" i="2"/>
  <c r="DL56" i="2"/>
  <c r="DL60" i="2"/>
  <c r="CV56" i="2"/>
  <c r="CV60" i="2"/>
  <c r="CF56" i="2"/>
  <c r="CF60" i="2"/>
  <c r="BS56" i="2"/>
  <c r="BS60" i="2"/>
  <c r="DA56" i="2"/>
  <c r="DA60" i="2"/>
  <c r="CK56" i="2"/>
  <c r="CK60" i="2"/>
  <c r="BN56" i="2"/>
  <c r="BN60" i="2"/>
  <c r="BN61" i="2"/>
  <c r="AS56" i="2"/>
  <c r="AS60" i="2"/>
  <c r="BQ56" i="2"/>
  <c r="BQ60" i="2"/>
  <c r="BQ61" i="2"/>
  <c r="BD56" i="2"/>
  <c r="BD60" i="2"/>
  <c r="AN56" i="2"/>
  <c r="AN60" i="2"/>
  <c r="R56" i="2"/>
  <c r="R60" i="2"/>
  <c r="BF56" i="2"/>
  <c r="BF60" i="2"/>
  <c r="BF61" i="2"/>
  <c r="AP56" i="2"/>
  <c r="AP60" i="2"/>
  <c r="AP61" i="2"/>
  <c r="AD56" i="2"/>
  <c r="AD60" i="2"/>
  <c r="AD61" i="2"/>
  <c r="BC56" i="2"/>
  <c r="BC60" i="2"/>
  <c r="AM56" i="2"/>
  <c r="AM60" i="2"/>
  <c r="AM61" i="2"/>
  <c r="S56" i="2"/>
  <c r="S60" i="2"/>
  <c r="S61" i="2"/>
  <c r="T56" i="2"/>
  <c r="AG56" i="2"/>
  <c r="AG60" i="2"/>
  <c r="Q56" i="2"/>
  <c r="Q60" i="2"/>
  <c r="Q61" i="2"/>
  <c r="AL60" i="2"/>
  <c r="AL61" i="2"/>
  <c r="K60" i="2"/>
  <c r="AJ60" i="2"/>
  <c r="T60" i="2"/>
  <c r="BK60" i="2"/>
  <c r="CL60" i="2"/>
  <c r="CL61" i="2"/>
  <c r="DI60" i="2"/>
  <c r="VZ61" i="2"/>
  <c r="TX61" i="2"/>
  <c r="PL61" i="2"/>
  <c r="JA61" i="2"/>
  <c r="BR61" i="2"/>
  <c r="AB61" i="2"/>
  <c r="UT61" i="2"/>
  <c r="TZ61" i="2"/>
  <c r="WF61" i="2"/>
  <c r="VP61" i="2"/>
  <c r="UZ61" i="2"/>
  <c r="WG61" i="2"/>
  <c r="WL61" i="2"/>
  <c r="VV61" i="2"/>
  <c r="VF61" i="2"/>
  <c r="UP61" i="2"/>
  <c r="TM61" i="2"/>
  <c r="SW61" i="2"/>
  <c r="SG61" i="2"/>
  <c r="RQ61" i="2"/>
  <c r="RA61" i="2"/>
  <c r="QK61" i="2"/>
  <c r="PU61" i="2"/>
  <c r="OY61" i="2"/>
  <c r="PH61" i="2"/>
  <c r="OS61" i="2"/>
  <c r="OC61" i="2"/>
  <c r="NM61" i="2"/>
  <c r="MW61" i="2"/>
  <c r="MG61" i="2"/>
  <c r="LQ61" i="2"/>
  <c r="LA61" i="2"/>
  <c r="KH61" i="2"/>
  <c r="KS61" i="2"/>
  <c r="KC61" i="2"/>
  <c r="JM61" i="2"/>
  <c r="HP61" i="2"/>
  <c r="GJ61" i="2"/>
  <c r="FK61" i="2"/>
  <c r="EU61" i="2"/>
  <c r="CZ61" i="2"/>
  <c r="CJ61" i="2"/>
  <c r="DE61" i="2"/>
  <c r="VJ61" i="2"/>
  <c r="UG61" i="2"/>
  <c r="WC61" i="2"/>
  <c r="VM61" i="2"/>
  <c r="UW61" i="2"/>
  <c r="UD61" i="2"/>
  <c r="UE61" i="2"/>
  <c r="TP61" i="2"/>
  <c r="SZ61" i="2"/>
  <c r="SJ61" i="2"/>
  <c r="RT61" i="2"/>
  <c r="RD61" i="2"/>
  <c r="QN61" i="2"/>
  <c r="PX61" i="2"/>
  <c r="TJ61" i="2"/>
  <c r="ST61" i="2"/>
  <c r="SD61" i="2"/>
  <c r="RN61" i="2"/>
  <c r="QX61" i="2"/>
  <c r="QH61" i="2"/>
  <c r="PR61" i="2"/>
  <c r="OU61" i="2"/>
  <c r="OE61" i="2"/>
  <c r="NO61" i="2"/>
  <c r="MY61" i="2"/>
  <c r="MI61" i="2"/>
  <c r="LS61" i="2"/>
  <c r="LC61" i="2"/>
  <c r="PD61" i="2"/>
  <c r="ON61" i="2"/>
  <c r="NX61" i="2"/>
  <c r="NH61" i="2"/>
  <c r="MR61" i="2"/>
  <c r="MB61" i="2"/>
  <c r="LL61" i="2"/>
  <c r="OO61" i="2"/>
  <c r="NY61" i="2"/>
  <c r="NI61" i="2"/>
  <c r="MS61" i="2"/>
  <c r="MC61" i="2"/>
  <c r="LM61" i="2"/>
  <c r="JR61" i="2"/>
  <c r="JB61" i="2"/>
  <c r="KM61" i="2"/>
  <c r="IU61" i="2"/>
  <c r="HT61" i="2"/>
  <c r="GN61" i="2"/>
  <c r="HY61" i="2"/>
  <c r="GS61" i="2"/>
  <c r="IP61" i="2"/>
  <c r="HZ61" i="2"/>
  <c r="HJ61" i="2"/>
  <c r="GT61" i="2"/>
  <c r="DS61" i="2"/>
  <c r="GB61" i="2"/>
  <c r="FL61" i="2"/>
  <c r="EV61" i="2"/>
  <c r="EF61" i="2"/>
  <c r="FU61" i="2"/>
  <c r="FE61" i="2"/>
  <c r="EO61" i="2"/>
  <c r="DZ61" i="2"/>
  <c r="AW61" i="2"/>
  <c r="VY61" i="2"/>
  <c r="VI61" i="2"/>
  <c r="US61" i="2"/>
  <c r="TL61" i="2"/>
  <c r="SV61" i="2"/>
  <c r="SF61" i="2"/>
  <c r="RP61" i="2"/>
  <c r="QZ61" i="2"/>
  <c r="QJ61" i="2"/>
  <c r="PT61" i="2"/>
  <c r="TF61" i="2"/>
  <c r="SP61" i="2"/>
  <c r="RZ61" i="2"/>
  <c r="RJ61" i="2"/>
  <c r="QT61" i="2"/>
  <c r="QD61" i="2"/>
  <c r="PN61" i="2"/>
  <c r="KK61" i="2"/>
  <c r="JU61" i="2"/>
  <c r="IF61" i="2"/>
  <c r="GZ61" i="2"/>
  <c r="IL61" i="2"/>
  <c r="HV61" i="2"/>
  <c r="HF61" i="2"/>
  <c r="GP61" i="2"/>
  <c r="DC61" i="2"/>
  <c r="EE61" i="2"/>
  <c r="FX61" i="2"/>
  <c r="EB61" i="2"/>
  <c r="DX61" i="2"/>
  <c r="CR61" i="2"/>
  <c r="EC61" i="2"/>
  <c r="CG61" i="2"/>
  <c r="DF61" i="2"/>
  <c r="CP61" i="2"/>
  <c r="BZ61" i="2"/>
  <c r="N61" i="2"/>
  <c r="DI61" i="2"/>
  <c r="R61" i="2"/>
  <c r="AS61" i="2"/>
  <c r="BS61" i="2"/>
  <c r="AX61" i="2"/>
  <c r="U61" i="2"/>
  <c r="WA61" i="2"/>
  <c r="VK61" i="2"/>
  <c r="UU61" i="2"/>
  <c r="VQ61" i="2"/>
  <c r="VA61" i="2"/>
  <c r="UK61" i="2"/>
  <c r="TS61" i="2"/>
  <c r="TC61" i="2"/>
  <c r="SM61" i="2"/>
  <c r="RW61" i="2"/>
  <c r="RG61" i="2"/>
  <c r="QQ61" i="2"/>
  <c r="QA61" i="2"/>
  <c r="TN61" i="2"/>
  <c r="SX61" i="2"/>
  <c r="SH61" i="2"/>
  <c r="RR61" i="2"/>
  <c r="RB61" i="2"/>
  <c r="QL61" i="2"/>
  <c r="PV61" i="2"/>
  <c r="PF61" i="2"/>
  <c r="OL61" i="2"/>
  <c r="NV61" i="2"/>
  <c r="NF61" i="2"/>
  <c r="MP61" i="2"/>
  <c r="LZ61" i="2"/>
  <c r="LJ61" i="2"/>
  <c r="JV61" i="2"/>
  <c r="JF61" i="2"/>
  <c r="KQ61" i="2"/>
  <c r="KA61" i="2"/>
  <c r="JK61" i="2"/>
  <c r="IV61" i="2"/>
  <c r="IS61" i="2"/>
  <c r="IC61" i="2"/>
  <c r="HM61" i="2"/>
  <c r="GW61" i="2"/>
  <c r="FP61" i="2"/>
  <c r="EZ61" i="2"/>
  <c r="EJ61" i="2"/>
  <c r="Y61" i="2"/>
  <c r="BG60" i="2"/>
  <c r="BG61" i="2"/>
  <c r="DT60" i="2"/>
  <c r="DT61" i="2"/>
  <c r="AY60" i="2"/>
  <c r="AY61" i="2"/>
  <c r="K61" i="2"/>
  <c r="AN61" i="2"/>
  <c r="AU61" i="2"/>
  <c r="AK61" i="2"/>
  <c r="PI61" i="2"/>
  <c r="JP61" i="2"/>
  <c r="KV61" i="2"/>
  <c r="JD61" i="2"/>
  <c r="KN61" i="2"/>
  <c r="KF61" i="2"/>
  <c r="KO61" i="2"/>
  <c r="JY61" i="2"/>
  <c r="JI61" i="2"/>
  <c r="IM61" i="2"/>
  <c r="HW61" i="2"/>
  <c r="HG61" i="2"/>
  <c r="GQ61" i="2"/>
  <c r="GF61" i="2"/>
  <c r="FG61" i="2"/>
  <c r="EQ61" i="2"/>
  <c r="FR61" i="2"/>
  <c r="FB61" i="2"/>
  <c r="EL61" i="2"/>
  <c r="DJ61" i="2"/>
  <c r="DQ61" i="2"/>
  <c r="CT61" i="2"/>
  <c r="CD61" i="2"/>
  <c r="BO61" i="2"/>
  <c r="AH61" i="2"/>
  <c r="L60" i="2"/>
  <c r="L61" i="2"/>
  <c r="BJ60" i="2"/>
  <c r="BJ61" i="2"/>
  <c r="BA60" i="2"/>
  <c r="BA61" i="2"/>
  <c r="BX60" i="2"/>
  <c r="BX61" i="2"/>
  <c r="CE60" i="2"/>
  <c r="CE61" i="2"/>
  <c r="BK61" i="2"/>
  <c r="BD61" i="2"/>
  <c r="CK61" i="2"/>
  <c r="CV61" i="2"/>
  <c r="CS61" i="2"/>
  <c r="AC61" i="2"/>
  <c r="X61" i="2"/>
  <c r="VN61" i="2"/>
  <c r="OQ61" i="2"/>
  <c r="OA61" i="2"/>
  <c r="NK61" i="2"/>
  <c r="MU61" i="2"/>
  <c r="ME61" i="2"/>
  <c r="LO61" i="2"/>
  <c r="KY61" i="2"/>
  <c r="OZ61" i="2"/>
  <c r="OJ61" i="2"/>
  <c r="NT61" i="2"/>
  <c r="ND61" i="2"/>
  <c r="MN61" i="2"/>
  <c r="LX61" i="2"/>
  <c r="LH61" i="2"/>
  <c r="FZ61" i="2"/>
  <c r="DO61" i="2"/>
  <c r="DV61" i="2"/>
  <c r="BV61" i="2"/>
  <c r="AI60" i="2"/>
  <c r="AI61" i="2"/>
  <c r="CN60" i="2"/>
  <c r="CN61" i="2"/>
  <c r="CU60" i="2"/>
  <c r="CU61" i="2"/>
  <c r="T61" i="2"/>
  <c r="DA61" i="2"/>
  <c r="DL61" i="2"/>
  <c r="BU61" i="2"/>
  <c r="V61" i="2"/>
  <c r="UH61" i="2"/>
  <c r="WJ61" i="2"/>
  <c r="VT61" i="2"/>
  <c r="VD61" i="2"/>
  <c r="UN61" i="2"/>
  <c r="UB61" i="2"/>
  <c r="TH61" i="2"/>
  <c r="SR61" i="2"/>
  <c r="SB61" i="2"/>
  <c r="RL61" i="2"/>
  <c r="QV61" i="2"/>
  <c r="QF61" i="2"/>
  <c r="PP61" i="2"/>
  <c r="TQ61" i="2"/>
  <c r="TA61" i="2"/>
  <c r="SK61" i="2"/>
  <c r="RU61" i="2"/>
  <c r="RE61" i="2"/>
  <c r="QO61" i="2"/>
  <c r="PY61" i="2"/>
  <c r="OW61" i="2"/>
  <c r="OG61" i="2"/>
  <c r="NQ61" i="2"/>
  <c r="NA61" i="2"/>
  <c r="MK61" i="2"/>
  <c r="LU61" i="2"/>
  <c r="LE61" i="2"/>
  <c r="IJ61" i="2"/>
  <c r="HD61" i="2"/>
  <c r="IH61" i="2"/>
  <c r="HR61" i="2"/>
  <c r="HB61" i="2"/>
  <c r="GL61" i="2"/>
  <c r="GD61" i="2"/>
  <c r="DG61" i="2"/>
  <c r="CA61" i="2"/>
  <c r="FM61" i="2"/>
  <c r="EW61" i="2"/>
  <c r="EG61" i="2"/>
  <c r="BE61" i="2"/>
  <c r="AO61" i="2"/>
  <c r="AE60" i="2"/>
  <c r="AE61" i="2"/>
  <c r="DD60" i="2"/>
  <c r="DD61" i="2"/>
  <c r="DK60" i="2"/>
  <c r="DK61" i="2"/>
  <c r="AF60" i="2"/>
  <c r="AF61" i="2"/>
  <c r="BB60" i="2"/>
  <c r="BB61" i="2"/>
  <c r="AG61" i="2"/>
  <c r="M61" i="2"/>
  <c r="K62" i="2"/>
  <c r="CF61" i="2"/>
  <c r="BH61" i="2"/>
  <c r="AJ61" i="2"/>
  <c r="AZ61" i="2"/>
  <c r="DU61" i="2"/>
  <c r="BY61" i="2"/>
  <c r="BC61" i="2"/>
  <c r="CO61" i="2"/>
  <c r="E33" i="6" l="1"/>
  <c r="V33" i="5"/>
  <c r="V29" i="5"/>
  <c r="C29" i="5" s="1"/>
  <c r="V24" i="5"/>
  <c r="C24" i="5" s="1"/>
  <c r="C46" i="6"/>
  <c r="D46" i="6" s="1"/>
  <c r="V31" i="5"/>
  <c r="C31" i="5" s="1"/>
  <c r="V32" i="5"/>
  <c r="C32" i="5" s="1"/>
  <c r="W27" i="1"/>
  <c r="Y27" i="1" s="1"/>
  <c r="F14" i="6"/>
  <c r="V15" i="5"/>
  <c r="C15" i="5" s="1"/>
  <c r="C14" i="6"/>
  <c r="D14" i="6" s="1"/>
  <c r="B16" i="1" s="1"/>
  <c r="R33" i="1" s="1"/>
  <c r="B23" i="8" s="1"/>
  <c r="V10" i="5"/>
  <c r="C10" i="5" s="1"/>
  <c r="V21" i="5"/>
  <c r="C21" i="5" s="1"/>
  <c r="V4" i="5"/>
  <c r="C4" i="5" s="1"/>
  <c r="V9" i="5"/>
  <c r="C9" i="5" s="1"/>
  <c r="V20" i="5"/>
  <c r="C20" i="5" s="1"/>
  <c r="V18" i="5"/>
  <c r="C18" i="5" s="1"/>
  <c r="V25" i="5"/>
  <c r="C25" i="5" s="1"/>
  <c r="V28" i="5"/>
  <c r="C28" i="5" s="1"/>
  <c r="V23" i="5"/>
  <c r="C23" i="5" s="1"/>
  <c r="V27" i="5"/>
  <c r="C27" i="5" s="1"/>
  <c r="V14" i="5"/>
  <c r="C14" i="5" s="1"/>
  <c r="V19" i="5"/>
  <c r="C19" i="5" s="1"/>
  <c r="V13" i="5"/>
  <c r="C13" i="5" s="1"/>
  <c r="V11" i="5"/>
  <c r="C11" i="5" s="1"/>
  <c r="V3" i="5"/>
  <c r="C3" i="5" s="1"/>
  <c r="V12" i="5"/>
  <c r="C12" i="5" s="1"/>
  <c r="V8" i="5"/>
  <c r="C8" i="5" s="1"/>
  <c r="V6" i="5"/>
  <c r="C6" i="5" s="1"/>
  <c r="C23" i="6"/>
  <c r="D23" i="6" s="1"/>
  <c r="B25" i="1" s="1"/>
  <c r="E35" i="6"/>
  <c r="G18" i="7"/>
  <c r="V2" i="5"/>
  <c r="C2" i="5" s="1"/>
  <c r="C42" i="1" s="1"/>
  <c r="C19" i="6"/>
  <c r="D19" i="6" s="1"/>
  <c r="B21" i="1" s="1"/>
  <c r="C4" i="6"/>
  <c r="D4" i="6" s="1"/>
  <c r="B6" i="1" s="1"/>
  <c r="R17" i="1" s="1"/>
  <c r="B7" i="8" s="1"/>
  <c r="E37" i="6"/>
  <c r="E29" i="6"/>
  <c r="W17" i="1"/>
  <c r="X17" i="1" s="1"/>
  <c r="F4" i="6"/>
  <c r="E32" i="6"/>
  <c r="D16" i="7"/>
  <c r="D23" i="7"/>
  <c r="E40" i="6"/>
  <c r="F21" i="6"/>
  <c r="E21" i="6"/>
  <c r="F19" i="7" s="1"/>
  <c r="G19" i="7"/>
  <c r="C13" i="6"/>
  <c r="D13" i="6" s="1"/>
  <c r="F13" i="6"/>
  <c r="F22" i="6"/>
  <c r="F3" i="6"/>
  <c r="G14" i="7"/>
  <c r="C22" i="6"/>
  <c r="D22" i="6" s="1"/>
  <c r="F16" i="6"/>
  <c r="E16" i="6"/>
  <c r="C17" i="7" s="1"/>
  <c r="E11" i="6"/>
  <c r="F14" i="7" s="1"/>
  <c r="C16" i="6"/>
  <c r="D16" i="6" s="1"/>
  <c r="E22" i="6"/>
  <c r="C20" i="7" s="1"/>
  <c r="E4" i="6"/>
  <c r="C11" i="7" s="1"/>
  <c r="B13" i="1"/>
  <c r="V29" i="1" s="1"/>
  <c r="D19" i="8" s="1"/>
  <c r="D24" i="7"/>
  <c r="C26" i="6"/>
  <c r="D26" i="6" s="1"/>
  <c r="B28" i="1" s="1"/>
  <c r="D19" i="7"/>
  <c r="C20" i="6"/>
  <c r="D20" i="6" s="1"/>
  <c r="F20" i="6"/>
  <c r="E20" i="6"/>
  <c r="C19" i="7" s="1"/>
  <c r="D10" i="7"/>
  <c r="E2" i="6"/>
  <c r="C10" i="7" s="1"/>
  <c r="C2" i="6"/>
  <c r="D2" i="6" s="1"/>
  <c r="F2" i="6"/>
  <c r="E38" i="6"/>
  <c r="E30" i="6"/>
  <c r="F11" i="6"/>
  <c r="E39" i="6"/>
  <c r="E31" i="6"/>
  <c r="E10" i="6"/>
  <c r="C14" i="7" s="1"/>
  <c r="G15" i="7"/>
  <c r="G10" i="7"/>
  <c r="W33" i="1"/>
  <c r="C21" i="6"/>
  <c r="D21" i="6" s="1"/>
  <c r="E34" i="6"/>
  <c r="E36" i="6"/>
  <c r="E28" i="6"/>
  <c r="E6" i="6"/>
  <c r="C12" i="7" s="1"/>
  <c r="E13" i="6"/>
  <c r="F15" i="7" s="1"/>
  <c r="E19" i="6"/>
  <c r="F18" i="7" s="1"/>
  <c r="G11" i="7"/>
  <c r="E5" i="6"/>
  <c r="F11" i="7" s="1"/>
  <c r="E7" i="6"/>
  <c r="F12" i="7" s="1"/>
  <c r="C7" i="6"/>
  <c r="D7" i="6" s="1"/>
  <c r="G12" i="7"/>
  <c r="F7" i="6"/>
  <c r="C12" i="6"/>
  <c r="D12" i="6" s="1"/>
  <c r="D15" i="7"/>
  <c r="E12" i="6"/>
  <c r="C15" i="7" s="1"/>
  <c r="F18" i="6"/>
  <c r="C18" i="6"/>
  <c r="D18" i="6" s="1"/>
  <c r="E23" i="6"/>
  <c r="F20" i="7" s="1"/>
  <c r="G20" i="7"/>
  <c r="C42" i="6"/>
  <c r="D42" i="6" s="1"/>
  <c r="E42" i="6"/>
  <c r="C5" i="6"/>
  <c r="D5" i="6" s="1"/>
  <c r="C3" i="6"/>
  <c r="D3" i="6" s="1"/>
  <c r="D13" i="7"/>
  <c r="C8" i="6"/>
  <c r="D8" i="6" s="1"/>
  <c r="F8" i="6"/>
  <c r="E17" i="6"/>
  <c r="F17" i="7" s="1"/>
  <c r="F17" i="6"/>
  <c r="G17" i="7"/>
  <c r="C17" i="6"/>
  <c r="D17" i="6" s="1"/>
  <c r="F24" i="6"/>
  <c r="C24" i="6"/>
  <c r="D24" i="6" s="1"/>
  <c r="E27" i="6"/>
  <c r="F24" i="7" s="1"/>
  <c r="G24" i="7"/>
  <c r="E43" i="6"/>
  <c r="C43" i="6"/>
  <c r="D43" i="6" s="1"/>
  <c r="D11" i="7"/>
  <c r="F10" i="6"/>
  <c r="C10" i="6"/>
  <c r="D10" i="6" s="1"/>
  <c r="G16" i="7"/>
  <c r="F15" i="6"/>
  <c r="E15" i="6"/>
  <c r="F16" i="7" s="1"/>
  <c r="C15" i="6"/>
  <c r="D15" i="6" s="1"/>
  <c r="G23" i="7"/>
  <c r="E25" i="6"/>
  <c r="F23" i="7" s="1"/>
  <c r="C44" i="6"/>
  <c r="D44" i="6" s="1"/>
  <c r="E44" i="6"/>
  <c r="B27" i="1"/>
  <c r="C6" i="6"/>
  <c r="D6" i="6" s="1"/>
  <c r="F6" i="6"/>
  <c r="G13" i="7"/>
  <c r="F9" i="6"/>
  <c r="E9" i="6"/>
  <c r="F13" i="7" s="1"/>
  <c r="C9" i="6"/>
  <c r="D9" i="6" s="1"/>
  <c r="D18" i="7"/>
  <c r="E45" i="6"/>
  <c r="C45" i="6"/>
  <c r="D45" i="6" s="1"/>
  <c r="E26" i="6"/>
  <c r="C24" i="7" s="1"/>
  <c r="O31" i="1"/>
  <c r="P31" i="1"/>
  <c r="Q15" i="1"/>
  <c r="Q29" i="1"/>
  <c r="B21" i="8"/>
  <c r="B19" i="8"/>
  <c r="B5" i="8"/>
  <c r="G25" i="6" l="1"/>
  <c r="X27" i="1"/>
  <c r="G19" i="6"/>
  <c r="D21" i="1"/>
  <c r="G2" i="6"/>
  <c r="D32" i="1"/>
  <c r="D39" i="1"/>
  <c r="G14" i="6"/>
  <c r="D42" i="1"/>
  <c r="D33" i="1"/>
  <c r="E37" i="1"/>
  <c r="D25" i="1"/>
  <c r="G13" i="6"/>
  <c r="E43" i="1"/>
  <c r="C40" i="1"/>
  <c r="E31" i="1"/>
  <c r="D34" i="1"/>
  <c r="G11" i="6"/>
  <c r="Y17" i="1"/>
  <c r="E39" i="1"/>
  <c r="G23" i="6"/>
  <c r="B15" i="1"/>
  <c r="G22" i="6"/>
  <c r="B24" i="1"/>
  <c r="C24" i="1" s="1"/>
  <c r="C6" i="1"/>
  <c r="C31" i="1"/>
  <c r="D38" i="1"/>
  <c r="C35" i="1"/>
  <c r="E38" i="1"/>
  <c r="C39" i="1"/>
  <c r="C41" i="1"/>
  <c r="E33" i="1"/>
  <c r="D40" i="1"/>
  <c r="D37" i="1"/>
  <c r="C38" i="1"/>
  <c r="E35" i="1"/>
  <c r="C36" i="1"/>
  <c r="E6" i="1"/>
  <c r="C25" i="1"/>
  <c r="E34" i="1"/>
  <c r="D31" i="1"/>
  <c r="C30" i="1"/>
  <c r="D35" i="1"/>
  <c r="C21" i="1"/>
  <c r="E41" i="1"/>
  <c r="C33" i="1"/>
  <c r="E32" i="1"/>
  <c r="E36" i="1"/>
  <c r="C43" i="1"/>
  <c r="D43" i="1"/>
  <c r="D6" i="1"/>
  <c r="E25" i="1"/>
  <c r="C37" i="1"/>
  <c r="D36" i="1"/>
  <c r="E29" i="1"/>
  <c r="E21" i="1"/>
  <c r="D41" i="1"/>
  <c r="E40" i="1"/>
  <c r="C32" i="1"/>
  <c r="E30" i="1"/>
  <c r="E42" i="1"/>
  <c r="C34" i="1"/>
  <c r="C29" i="1"/>
  <c r="D30" i="1"/>
  <c r="D29" i="1"/>
  <c r="G4" i="6"/>
  <c r="B4" i="1"/>
  <c r="B18" i="1"/>
  <c r="S37" i="1" s="1"/>
  <c r="G16" i="6"/>
  <c r="G21" i="6"/>
  <c r="B23" i="1"/>
  <c r="Y33" i="1"/>
  <c r="X33" i="1"/>
  <c r="C28" i="1"/>
  <c r="E28" i="1"/>
  <c r="D28" i="1"/>
  <c r="B22" i="1"/>
  <c r="G20" i="6"/>
  <c r="C13" i="1"/>
  <c r="E13" i="1"/>
  <c r="D13" i="1"/>
  <c r="B11" i="1"/>
  <c r="R25" i="1" s="1"/>
  <c r="G9" i="6"/>
  <c r="B10" i="1"/>
  <c r="V21" i="1" s="1"/>
  <c r="G8" i="6"/>
  <c r="E16" i="1"/>
  <c r="D16" i="1"/>
  <c r="C16" i="1"/>
  <c r="B8" i="1"/>
  <c r="V23" i="1" s="1"/>
  <c r="G6" i="6"/>
  <c r="B26" i="1"/>
  <c r="G24" i="6"/>
  <c r="G5" i="6"/>
  <c r="B7" i="1"/>
  <c r="V19" i="1" s="1"/>
  <c r="E27" i="1"/>
  <c r="D27" i="1"/>
  <c r="C27" i="1"/>
  <c r="B5" i="1"/>
  <c r="R19" i="1" s="1"/>
  <c r="G3" i="6"/>
  <c r="D1" i="6"/>
  <c r="B9" i="1"/>
  <c r="G7" i="6"/>
  <c r="B17" i="1"/>
  <c r="V31" i="1" s="1"/>
  <c r="G15" i="6"/>
  <c r="B12" i="1"/>
  <c r="R27" i="1" s="1"/>
  <c r="G10" i="6"/>
  <c r="G17" i="6"/>
  <c r="B19" i="1"/>
  <c r="S11" i="1" s="1"/>
  <c r="B3" i="8" s="1"/>
  <c r="G18" i="6"/>
  <c r="B20" i="1"/>
  <c r="B14" i="1"/>
  <c r="V15" i="1" s="1"/>
  <c r="G12" i="6"/>
  <c r="O29" i="1"/>
  <c r="P29" i="1"/>
  <c r="P15" i="1"/>
  <c r="O15" i="1"/>
  <c r="B9" i="8" l="1"/>
  <c r="D21" i="8"/>
  <c r="D13" i="8"/>
  <c r="B25" i="8"/>
  <c r="C4" i="1"/>
  <c r="R21" i="1"/>
  <c r="W29" i="1"/>
  <c r="D5" i="8"/>
  <c r="B17" i="8"/>
  <c r="E9" i="1"/>
  <c r="V25" i="1"/>
  <c r="E15" i="1"/>
  <c r="K23" i="1" s="1"/>
  <c r="R23" i="1"/>
  <c r="Q17" i="1"/>
  <c r="D9" i="8"/>
  <c r="D11" i="8"/>
  <c r="B15" i="8"/>
  <c r="Q33" i="1"/>
  <c r="C15" i="1"/>
  <c r="S23" i="1" s="1"/>
  <c r="D15" i="1"/>
  <c r="D24" i="1"/>
  <c r="E24" i="1"/>
  <c r="D4" i="1"/>
  <c r="E4" i="1"/>
  <c r="K21" i="1" s="1"/>
  <c r="D18" i="1"/>
  <c r="C18" i="1"/>
  <c r="E18" i="1"/>
  <c r="Q37" i="1" s="1"/>
  <c r="D22" i="1"/>
  <c r="C22" i="1"/>
  <c r="E22" i="1"/>
  <c r="K31" i="1"/>
  <c r="E23" i="1"/>
  <c r="C23" i="1"/>
  <c r="D23" i="1"/>
  <c r="K17" i="1"/>
  <c r="D12" i="1"/>
  <c r="C12" i="1"/>
  <c r="E12" i="1"/>
  <c r="Q27" i="1" s="1"/>
  <c r="U27" i="1"/>
  <c r="U17" i="1"/>
  <c r="Z17" i="1"/>
  <c r="K29" i="1"/>
  <c r="S21" i="1"/>
  <c r="Z33" i="1"/>
  <c r="C8" i="1"/>
  <c r="U23" i="1" s="1"/>
  <c r="D8" i="1"/>
  <c r="E8" i="1"/>
  <c r="W23" i="1" s="1"/>
  <c r="S15" i="1"/>
  <c r="Z27" i="1"/>
  <c r="E5" i="1"/>
  <c r="Q19" i="1" s="1"/>
  <c r="D5" i="1"/>
  <c r="C5" i="1"/>
  <c r="S19" i="1" s="1"/>
  <c r="S29" i="1"/>
  <c r="U29" i="1"/>
  <c r="S31" i="1"/>
  <c r="K15" i="1"/>
  <c r="S27" i="1"/>
  <c r="S33" i="1"/>
  <c r="K33" i="1"/>
  <c r="Z29" i="1"/>
  <c r="E19" i="1"/>
  <c r="Q11" i="1" s="1"/>
  <c r="D19" i="1"/>
  <c r="C19" i="1"/>
  <c r="D14" i="1"/>
  <c r="C14" i="1"/>
  <c r="U15" i="1" s="1"/>
  <c r="E14" i="1"/>
  <c r="W15" i="1" s="1"/>
  <c r="E20" i="1"/>
  <c r="D20" i="1"/>
  <c r="C20" i="1"/>
  <c r="D17" i="1"/>
  <c r="C17" i="1"/>
  <c r="U31" i="1" s="1"/>
  <c r="E17" i="1"/>
  <c r="W31" i="1" s="1"/>
  <c r="U33" i="1"/>
  <c r="K37" i="1"/>
  <c r="Z37" i="1"/>
  <c r="S17" i="1"/>
  <c r="D9" i="1"/>
  <c r="C9" i="1"/>
  <c r="D26" i="1"/>
  <c r="C26" i="1"/>
  <c r="E26" i="1"/>
  <c r="E7" i="1"/>
  <c r="Z19" i="1" s="1"/>
  <c r="C7" i="1"/>
  <c r="U19" i="1" s="1"/>
  <c r="D7" i="1"/>
  <c r="E10" i="1"/>
  <c r="Z21" i="1" s="1"/>
  <c r="C10" i="1"/>
  <c r="U21" i="1" s="1"/>
  <c r="D10" i="1"/>
  <c r="D11" i="1"/>
  <c r="E11" i="1"/>
  <c r="K25" i="1" s="1"/>
  <c r="C11" i="1"/>
  <c r="S25" i="1" s="1"/>
  <c r="O19" i="1" l="1"/>
  <c r="P19" i="1"/>
  <c r="Z25" i="1"/>
  <c r="Z23" i="1"/>
  <c r="K19" i="1"/>
  <c r="U25" i="1"/>
  <c r="K11" i="1"/>
  <c r="Z15" i="1"/>
  <c r="Z11" i="1"/>
  <c r="O11" i="1"/>
  <c r="P11" i="1"/>
  <c r="K27" i="1"/>
  <c r="Y15" i="1"/>
  <c r="X15" i="1"/>
  <c r="X23" i="1"/>
  <c r="Y23" i="1"/>
  <c r="Y31" i="1"/>
  <c r="X31" i="1"/>
  <c r="O37" i="1"/>
  <c r="P37" i="1"/>
  <c r="P27" i="1"/>
  <c r="O27" i="1"/>
  <c r="Z31" i="1"/>
  <c r="Q25" i="1"/>
  <c r="W19" i="1"/>
  <c r="B11" i="8"/>
  <c r="Q21" i="1"/>
  <c r="D15" i="8"/>
  <c r="W25" i="1"/>
  <c r="W21" i="1"/>
  <c r="P17" i="1"/>
  <c r="O17" i="1"/>
  <c r="O33" i="1"/>
  <c r="P33" i="1"/>
  <c r="B13" i="8"/>
  <c r="Q23" i="1"/>
  <c r="X29" i="1"/>
  <c r="Y29" i="1"/>
  <c r="AB5" i="1"/>
  <c r="AB6" i="1"/>
  <c r="AA39" i="1" l="1"/>
  <c r="P23" i="1"/>
  <c r="O23" i="1"/>
  <c r="O25" i="1"/>
  <c r="P25" i="1"/>
  <c r="O21" i="1"/>
  <c r="P21" i="1"/>
  <c r="Y21" i="1"/>
  <c r="X21" i="1"/>
  <c r="X25" i="1"/>
  <c r="Y25" i="1"/>
  <c r="Y19" i="1"/>
  <c r="X19" i="1"/>
  <c r="D91" i="1" l="1"/>
  <c r="E83" i="1"/>
  <c r="AN9" i="1" s="1"/>
  <c r="E91" i="1"/>
  <c r="AB28" i="1" s="1"/>
  <c r="D83" i="1"/>
  <c r="AC28" i="1"/>
  <c r="E92" i="1" l="1"/>
  <c r="D95" i="1" s="1"/>
  <c r="E107" i="1"/>
  <c r="E84" i="1"/>
  <c r="E87" i="1" s="1"/>
  <c r="AM9" i="1"/>
  <c r="AN13" i="1" s="1"/>
  <c r="AC12" i="1" s="1"/>
  <c r="E95" i="1"/>
  <c r="AC32" i="1"/>
  <c r="AC36" i="1" s="1"/>
  <c r="D107" i="1"/>
  <c r="D101" i="1"/>
  <c r="D87" i="1" l="1"/>
  <c r="F107" i="1"/>
  <c r="E101" i="1"/>
  <c r="F101" i="1" s="1"/>
  <c r="G101" i="1" s="1"/>
  <c r="H107" i="1"/>
  <c r="U43" i="1"/>
  <c r="V43" i="1" s="1"/>
  <c r="T43" i="1"/>
  <c r="AQ23" i="1"/>
  <c r="G107" i="1"/>
  <c r="I101" i="1"/>
  <c r="H101" i="1" s="1"/>
  <c r="AC16" i="1"/>
  <c r="J101" i="1"/>
  <c r="F106" i="1"/>
  <c r="G106" i="1"/>
  <c r="F100" i="1"/>
  <c r="G100" i="1" s="1"/>
  <c r="I100" i="1"/>
  <c r="H100" i="1" s="1"/>
  <c r="AP2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Nigel Bedford</author>
  </authors>
  <commentList>
    <comment ref="D3" authorId="0" shapeId="0" xr:uid="{00000000-0006-0000-0000-000001000000}">
      <text>
        <r>
          <rPr>
            <b/>
            <sz val="9"/>
            <color rgb="FF000000"/>
            <rFont val="Tahoma"/>
            <family val="2"/>
          </rPr>
          <t>Nigel Bedford:</t>
        </r>
        <r>
          <rPr>
            <sz val="9"/>
            <color rgb="FF000000"/>
            <rFont val="Tahoma"/>
            <family val="2"/>
          </rPr>
          <t xml:space="preserve">
</t>
        </r>
        <r>
          <rPr>
            <sz val="9"/>
            <color rgb="FF000000"/>
            <rFont val="Tahoma"/>
            <family val="2"/>
          </rPr>
          <t>Paddling preference (eg LF, RR, either) - not used in any calculation</t>
        </r>
      </text>
    </comment>
    <comment ref="E54" authorId="0" shapeId="0" xr:uid="{00000000-0006-0000-0000-000002000000}">
      <text>
        <r>
          <rPr>
            <b/>
            <sz val="9"/>
            <color indexed="81"/>
            <rFont val="Tahoma"/>
            <family val="2"/>
          </rPr>
          <t>Nigel Bedford:</t>
        </r>
        <r>
          <rPr>
            <sz val="9"/>
            <color indexed="81"/>
            <rFont val="Tahoma"/>
            <family val="2"/>
          </rPr>
          <t xml:space="preserve">
My calculation of where an individual's CoG would be relative to the centreline of the boat.  It assumes it would be a uniform 20cm from the gunwhale</t>
        </r>
      </text>
    </comment>
    <comment ref="D64" authorId="0" shapeId="0" xr:uid="{00000000-0006-0000-0000-000003000000}">
      <text>
        <r>
          <rPr>
            <b/>
            <sz val="9"/>
            <color rgb="FF000000"/>
            <rFont val="Tahoma"/>
            <family val="2"/>
          </rPr>
          <t>Nigel Bedford:</t>
        </r>
        <r>
          <rPr>
            <sz val="9"/>
            <color rgb="FF000000"/>
            <rFont val="Tahoma"/>
            <family val="2"/>
          </rPr>
          <t xml:space="preserve">
</t>
        </r>
        <r>
          <rPr>
            <sz val="9"/>
            <color rgb="FF000000"/>
            <rFont val="Tahoma"/>
            <family val="2"/>
          </rPr>
          <t>Allows for drummer and drum</t>
        </r>
      </text>
    </comment>
    <comment ref="D67" authorId="0" shapeId="0" xr:uid="{00000000-0006-0000-0000-000004000000}">
      <text>
        <r>
          <rPr>
            <b/>
            <sz val="9"/>
            <color rgb="FF000000"/>
            <rFont val="Tahoma"/>
            <family val="2"/>
          </rPr>
          <t>Nigel Bedford:</t>
        </r>
        <r>
          <rPr>
            <sz val="9"/>
            <color rgb="FF000000"/>
            <rFont val="Tahoma"/>
            <family val="2"/>
          </rPr>
          <t xml:space="preserve">
</t>
        </r>
        <r>
          <rPr>
            <sz val="9"/>
            <color rgb="FF000000"/>
            <rFont val="Tahoma"/>
            <family val="2"/>
          </rPr>
          <t>Simple table to count how many people have been assigned to each seat</t>
        </r>
      </text>
    </comment>
  </commentList>
</comments>
</file>

<file path=xl/sharedStrings.xml><?xml version="1.0" encoding="utf-8"?>
<sst xmlns="http://schemas.openxmlformats.org/spreadsheetml/2006/main" count="268" uniqueCount="140">
  <si>
    <t>Drummer</t>
  </si>
  <si>
    <t xml:space="preserve">- Row 1 - </t>
  </si>
  <si>
    <t xml:space="preserve">- Row 2 - </t>
  </si>
  <si>
    <t xml:space="preserve">- Row 3 - </t>
  </si>
  <si>
    <t xml:space="preserve">- Row 4 - </t>
  </si>
  <si>
    <t xml:space="preserve">- Row 6 - </t>
  </si>
  <si>
    <t xml:space="preserve">- Row 7 - </t>
  </si>
  <si>
    <t xml:space="preserve">- Row 8 - </t>
  </si>
  <si>
    <t xml:space="preserve">- Row 9 - </t>
  </si>
  <si>
    <t xml:space="preserve">- Row 10 - </t>
  </si>
  <si>
    <t>Helm</t>
  </si>
  <si>
    <t>Row 5, 6</t>
  </si>
  <si>
    <t>Row 4, 7</t>
  </si>
  <si>
    <t>Row 3, 8</t>
  </si>
  <si>
    <t>Row 2, 9</t>
  </si>
  <si>
    <t>Row 1, 10</t>
  </si>
  <si>
    <t>CoG from Centreline</t>
  </si>
  <si>
    <t>LF</t>
  </si>
  <si>
    <t>RR</t>
  </si>
  <si>
    <t>Pref</t>
  </si>
  <si>
    <t>- Row 5 -</t>
  </si>
  <si>
    <t>Drum</t>
  </si>
  <si>
    <t>Check</t>
  </si>
  <si>
    <t>Seat width (m)</t>
  </si>
  <si>
    <t>Distance from boat centre (m)</t>
  </si>
  <si>
    <t>Bow</t>
  </si>
  <si>
    <t>Stern</t>
  </si>
  <si>
    <t>Choose Row</t>
  </si>
  <si>
    <t>Distance Long (m)</t>
  </si>
  <si>
    <t>Weight Force (N)</t>
  </si>
  <si>
    <t>Distance Wide (m)</t>
  </si>
  <si>
    <t>Team</t>
  </si>
  <si>
    <t>Boat Parameters</t>
  </si>
  <si>
    <t>Roll Moment (Nm)</t>
  </si>
  <si>
    <t>Pitch Moment (Nm)</t>
  </si>
  <si>
    <t>Roll LH</t>
  </si>
  <si>
    <t>Roll RH</t>
  </si>
  <si>
    <t>Pitch Bow</t>
  </si>
  <si>
    <t>Pitch Stern</t>
  </si>
  <si>
    <t>(Nm)</t>
  </si>
  <si>
    <t>Difference</t>
  </si>
  <si>
    <t>Distance from amidships</t>
  </si>
  <si>
    <t>Width</t>
  </si>
  <si>
    <t>Active Length</t>
  </si>
  <si>
    <t>width/2</t>
  </si>
  <si>
    <t>Moment Arm</t>
  </si>
  <si>
    <t>(2/3)*(width/2)</t>
  </si>
  <si>
    <t>Approx angle</t>
  </si>
  <si>
    <t>Deg</t>
  </si>
  <si>
    <t>Row</t>
  </si>
  <si>
    <t>ROLL</t>
  </si>
  <si>
    <t>R</t>
  </si>
  <si>
    <t>L</t>
  </si>
  <si>
    <t>RA</t>
  </si>
  <si>
    <t>LA</t>
  </si>
  <si>
    <t>Approx Height Difference</t>
  </si>
  <si>
    <t>(Deg)</t>
  </si>
  <si>
    <t>S</t>
  </si>
  <si>
    <t>B</t>
  </si>
  <si>
    <t>deg</t>
  </si>
  <si>
    <t>Overall length</t>
  </si>
  <si>
    <t>Wt</t>
  </si>
  <si>
    <t>Y</t>
  </si>
  <si>
    <t>Password hint: Chislehurst</t>
  </si>
  <si>
    <t>M</t>
  </si>
  <si>
    <t>F</t>
  </si>
  <si>
    <t>Gender</t>
  </si>
  <si>
    <t>Name</t>
  </si>
  <si>
    <t>Preference</t>
  </si>
  <si>
    <t>Weight</t>
  </si>
  <si>
    <t>SheetName</t>
  </si>
  <si>
    <t>*L</t>
  </si>
  <si>
    <t>*R</t>
  </si>
  <si>
    <t>Updated</t>
  </si>
  <si>
    <t>Club 1</t>
  </si>
  <si>
    <t>Club2</t>
  </si>
  <si>
    <t>Hurricanes</t>
  </si>
  <si>
    <t>PW</t>
  </si>
  <si>
    <t>BDA</t>
  </si>
  <si>
    <t>Birth</t>
  </si>
  <si>
    <t xml:space="preserve"> </t>
  </si>
  <si>
    <t>Crew</t>
  </si>
  <si>
    <t>Drummer to Helm</t>
  </si>
  <si>
    <t>Crew weight</t>
  </si>
  <si>
    <t>Version</t>
  </si>
  <si>
    <t xml:space="preserve">Hurricanes </t>
  </si>
  <si>
    <t>↗️</t>
  </si>
  <si>
    <t>↘️</t>
  </si>
  <si>
    <t>Paragons</t>
  </si>
  <si>
    <t>Q11 incl +10</t>
  </si>
  <si>
    <t>roll</t>
  </si>
  <si>
    <t>Pitch</t>
  </si>
  <si>
    <t>Male</t>
  </si>
  <si>
    <t>Female</t>
  </si>
  <si>
    <t>**</t>
  </si>
  <si>
    <t>A Crew List must be submitted to the Race Secretary before a crew races. This should be done at the Crew Managers Meeting, which is normally held 1 hour before the first race of the day. Only those competitors named on the submitted Crew List will be permitted to race.</t>
  </si>
  <si>
    <t>CREW LIST</t>
  </si>
  <si>
    <t>#</t>
  </si>
  <si>
    <t>BDA Number</t>
  </si>
  <si>
    <t>RESERVES</t>
  </si>
  <si>
    <r>
      <rPr>
        <b/>
        <sz val="11"/>
        <color theme="1"/>
        <rFont val="Calibri"/>
        <family val="2"/>
        <scheme val="minor"/>
      </rPr>
      <t>Two paddler rule:</t>
    </r>
    <r>
      <rPr>
        <sz val="11"/>
        <color theme="1"/>
        <rFont val="Calibri"/>
        <family val="2"/>
        <scheme val="minor"/>
      </rPr>
      <t xml:space="preserve">
The first two reserves named below (*) may appear on another crew list for the same organisation. Reserve paddlers who paddle with a crew from the same organisation in a higher division cannot subsequently compete with the lower division crew in the same competition class, on that day, except as drummer or helm. Crews with less than 20 paddlers at the beginning of the competition class may add more people to their original list providing those added are crew members and the two paddler rule above is not compromised. For S12 classes there is a maximum of 14 paddlers plus helm &amp; drummer, including reserves.</t>
    </r>
  </si>
  <si>
    <r>
      <rPr>
        <b/>
        <sz val="10"/>
        <color theme="1"/>
        <rFont val="Calibri (Body)"/>
      </rPr>
      <t>Crew Manager Declaration:</t>
    </r>
    <r>
      <rPr>
        <sz val="10"/>
        <color theme="1"/>
        <rFont val="Calibri (Body)"/>
      </rPr>
      <t xml:space="preserve">
In accordance with BDA Competition Regulations, I certify that those competitors shown on this Crew List are fit &amp; competent to race &amp; are the only ones who will represent the crew named above, during this competition.
I understand that a false declaration may result in the disqualification of the crew or individuals from the event.</t>
    </r>
  </si>
  <si>
    <t>Name:</t>
  </si>
  <si>
    <t>Signed:</t>
  </si>
  <si>
    <t>Crew name:</t>
  </si>
  <si>
    <t>Team manager:</t>
  </si>
  <si>
    <t>NL Status</t>
  </si>
  <si>
    <t xml:space="preserve">[Premier]     [Standard]       [Scratch]        [Juniors]        [Ladies S12]       [Open S12] </t>
  </si>
  <si>
    <t>Weight ZZ</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</si>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</sst>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0.000"/>
    <numFmt numFmtId="167" formatCode="d\ mmm\ yy"/>
    <numFmt numFmtId="168" formatCode="_(* #,##0_);_(* \(#,##0\);_(* &quot;-&quot;??_);_(@_)"/>
    <numFmt numFmtId="169" formatCode="yyyy"/>
  </numFmts>
  <fonts count="21" x14ac:knownFonts="1">
    <font>
      <sz val="11"/>
      <color theme="1"/>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theme="0" tint="-0.249977111117893"/>
      <name val="Calibri"/>
      <family val="2"/>
      <scheme val="minor"/>
    </font>
    <font>
      <b/>
      <sz val="11"/>
      <color theme="1"/>
      <name val="Calibri"/>
      <family val="2"/>
      <scheme val="minor"/>
    </font>
    <font>
      <b/>
      <sz val="16"/>
      <color theme="1"/>
      <name val="Calibri"/>
      <family val="2"/>
      <scheme val="minor"/>
    </font>
    <font>
      <sz val="11"/>
      <color theme="0"/>
      <name val="Calibri"/>
      <family val="2"/>
      <scheme val="minor"/>
    </font>
    <font>
      <b/>
      <sz val="9"/>
      <color rgb="FF000000"/>
      <name val="Tahoma"/>
      <family val="2"/>
    </font>
    <font>
      <sz val="9"/>
      <color rgb="FF000000"/>
      <name val="Tahoma"/>
      <family val="2"/>
    </font>
    <font>
      <b/>
      <sz val="10"/>
      <color theme="1"/>
      <name val="Calibri"/>
      <family val="2"/>
      <scheme val="minor"/>
    </font>
    <font>
      <sz val="11"/>
      <color theme="0" tint="-0.14999847407452621"/>
      <name val="Calibri"/>
      <family val="2"/>
      <scheme val="minor"/>
    </font>
    <font>
      <sz val="11"/>
      <color theme="1"/>
      <name val="Calibri"/>
      <family val="2"/>
      <scheme val="minor"/>
    </font>
    <font>
      <sz val="14"/>
      <color theme="1"/>
      <name val="Calibri"/>
      <family val="2"/>
      <scheme val="minor"/>
    </font>
    <font>
      <sz val="10"/>
      <color rgb="FF222222"/>
      <name val="Arial"/>
      <family val="2"/>
    </font>
    <font>
      <b/>
      <sz val="11"/>
      <color theme="0"/>
      <name val="Calibri"/>
      <family val="2"/>
      <scheme val="minor"/>
    </font>
    <font>
      <sz val="10"/>
      <color theme="1"/>
      <name val="Calibri"/>
      <family val="2"/>
      <scheme val="minor"/>
    </font>
    <font>
      <sz val="10"/>
      <color theme="1"/>
      <name val="Calibri (Body)"/>
    </font>
    <font>
      <b/>
      <sz val="10"/>
      <color theme="1"/>
      <name val="Calibri (Body)"/>
    </font>
    <font>
      <b/>
      <sz val="20"/>
      <color theme="1"/>
      <name val="Calibri"/>
      <family val="2"/>
      <scheme val="minor"/>
    </font>
    <font>
      <sz val="8"/>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0FFCE"/>
        <bgColor indexed="64"/>
      </patternFill>
    </fill>
    <fill>
      <patternFill patternType="solid">
        <fgColor theme="0" tint="-4.9989318521683403E-2"/>
        <bgColor indexed="64"/>
      </patternFill>
    </fill>
    <fill>
      <patternFill patternType="solid">
        <fgColor rgb="FF0070C0"/>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style="thick">
        <color auto="1"/>
      </bottom>
      <diagonal/>
    </border>
    <border>
      <left/>
      <right/>
      <top style="thin">
        <color auto="1"/>
      </top>
      <bottom style="thin">
        <color auto="1"/>
      </bottom>
      <diagonal/>
    </border>
    <border>
      <left/>
      <right/>
      <top style="thin">
        <color auto="1"/>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xf numFmtId="164" fontId="12" fillId="0" borderId="0" applyFont="0" applyFill="0" applyBorder="0" applyAlignment="0" applyProtection="0"/>
  </cellStyleXfs>
  <cellXfs count="101">
    <xf numFmtId="0" fontId="0" fillId="0" borderId="0" xfId="0"/>
    <xf numFmtId="0" fontId="5" fillId="0" borderId="0" xfId="0" applyFont="1"/>
    <xf numFmtId="167" fontId="0" fillId="0" borderId="0" xfId="0" applyNumberFormat="1"/>
    <xf numFmtId="0" fontId="0" fillId="4" borderId="2" xfId="0" applyFill="1" applyBorder="1" applyAlignment="1" applyProtection="1">
      <alignment horizontal="center"/>
    </xf>
    <xf numFmtId="0" fontId="0" fillId="0" borderId="0" xfId="0" applyAlignment="1">
      <alignment horizontal="center"/>
    </xf>
    <xf numFmtId="0" fontId="0" fillId="0" borderId="0" xfId="0" applyAlignment="1">
      <alignment horizontal="center"/>
    </xf>
    <xf numFmtId="0" fontId="0" fillId="0" borderId="0" xfId="0" applyProtection="1"/>
    <xf numFmtId="0" fontId="0" fillId="0" borderId="0" xfId="0" applyAlignment="1" applyProtection="1">
      <alignment horizontal="center"/>
    </xf>
    <xf numFmtId="0" fontId="7" fillId="0" borderId="0" xfId="0" applyFont="1" applyAlignment="1" applyProtection="1">
      <alignment horizontal="center"/>
    </xf>
    <xf numFmtId="0" fontId="1" fillId="0" borderId="0" xfId="0" applyFont="1" applyAlignment="1" applyProtection="1">
      <alignment horizontal="right"/>
    </xf>
    <xf numFmtId="0" fontId="0" fillId="0" borderId="0" xfId="0" applyAlignment="1" applyProtection="1">
      <alignment horizontal="right"/>
    </xf>
    <xf numFmtId="0" fontId="7" fillId="0" borderId="0" xfId="0" applyFont="1" applyProtection="1"/>
    <xf numFmtId="0" fontId="1" fillId="0" borderId="0" xfId="0" applyFont="1" applyAlignment="1" applyProtection="1">
      <alignment horizontal="center"/>
    </xf>
    <xf numFmtId="0" fontId="1" fillId="0" borderId="0" xfId="0" applyFont="1" applyAlignment="1" applyProtection="1">
      <alignment horizontal="left"/>
    </xf>
    <xf numFmtId="0" fontId="0" fillId="0" borderId="2" xfId="0" applyBorder="1" applyProtection="1"/>
    <xf numFmtId="0" fontId="0" fillId="0" borderId="2" xfId="0" applyBorder="1" applyAlignment="1" applyProtection="1">
      <alignment horizontal="center"/>
    </xf>
    <xf numFmtId="0" fontId="5" fillId="0" borderId="2" xfId="0" applyFont="1" applyBorder="1" applyProtection="1"/>
    <xf numFmtId="0" fontId="5" fillId="0" borderId="2" xfId="0" applyFont="1" applyBorder="1" applyAlignment="1" applyProtection="1">
      <alignment horizontal="center"/>
    </xf>
    <xf numFmtId="0" fontId="5" fillId="0" borderId="0" xfId="0" applyFont="1" applyAlignment="1" applyProtection="1">
      <alignment horizontal="right"/>
    </xf>
    <xf numFmtId="0" fontId="5" fillId="0" borderId="0" xfId="0" applyFont="1" applyProtection="1"/>
    <xf numFmtId="0" fontId="5" fillId="0" borderId="0" xfId="0" applyFont="1" applyAlignment="1" applyProtection="1">
      <alignment horizontal="center" vertical="center"/>
    </xf>
    <xf numFmtId="1" fontId="0" fillId="0" borderId="0" xfId="0" applyNumberFormat="1" applyAlignment="1" applyProtection="1">
      <alignment horizontal="center"/>
    </xf>
    <xf numFmtId="2" fontId="4" fillId="0" borderId="0" xfId="0" applyNumberFormat="1" applyFont="1" applyProtection="1"/>
    <xf numFmtId="165" fontId="4" fillId="0" borderId="0" xfId="0" applyNumberFormat="1" applyFont="1" applyProtection="1"/>
    <xf numFmtId="2" fontId="0" fillId="0" borderId="0" xfId="0" applyNumberFormat="1" applyProtection="1"/>
    <xf numFmtId="165" fontId="0" fillId="0" borderId="0" xfId="0" applyNumberFormat="1" applyAlignment="1" applyProtection="1">
      <alignment horizontal="center"/>
    </xf>
    <xf numFmtId="165" fontId="0" fillId="0" borderId="0" xfId="0" applyNumberFormat="1" applyProtection="1"/>
    <xf numFmtId="0" fontId="0" fillId="0" borderId="1" xfId="0" applyBorder="1" applyAlignment="1" applyProtection="1">
      <alignment horizontal="right"/>
    </xf>
    <xf numFmtId="0" fontId="1" fillId="0" borderId="0" xfId="0" quotePrefix="1" applyFont="1" applyAlignment="1" applyProtection="1">
      <alignment horizontal="center"/>
    </xf>
    <xf numFmtId="0" fontId="0" fillId="0" borderId="1" xfId="0" applyBorder="1" applyProtection="1"/>
    <xf numFmtId="0" fontId="4" fillId="0" borderId="0" xfId="0" applyFont="1" applyProtection="1"/>
    <xf numFmtId="1" fontId="6" fillId="3" borderId="1" xfId="0" applyNumberFormat="1" applyFont="1" applyFill="1" applyBorder="1" applyAlignment="1" applyProtection="1">
      <alignment horizontal="center"/>
    </xf>
    <xf numFmtId="0" fontId="7" fillId="0" borderId="0" xfId="0" applyFont="1" applyAlignment="1" applyProtection="1">
      <alignment horizontal="right"/>
    </xf>
    <xf numFmtId="0" fontId="4" fillId="0" borderId="0" xfId="0" applyFont="1" applyAlignment="1" applyProtection="1">
      <alignment horizontal="center"/>
    </xf>
    <xf numFmtId="0" fontId="5" fillId="0" borderId="0" xfId="0" applyFont="1" applyAlignment="1" applyProtection="1">
      <alignment horizontal="center"/>
    </xf>
    <xf numFmtId="0" fontId="0" fillId="0" borderId="0" xfId="0" applyAlignment="1" applyProtection="1">
      <alignment horizontal="center" wrapText="1"/>
    </xf>
    <xf numFmtId="0" fontId="1" fillId="0" borderId="0" xfId="0" applyFont="1" applyAlignment="1" applyProtection="1">
      <alignment horizontal="right" wrapText="1"/>
    </xf>
    <xf numFmtId="2" fontId="0" fillId="0" borderId="0" xfId="0" applyNumberFormat="1" applyAlignment="1" applyProtection="1">
      <alignment horizontal="center"/>
    </xf>
    <xf numFmtId="2" fontId="1" fillId="0" borderId="0" xfId="0" applyNumberFormat="1" applyFont="1" applyAlignment="1" applyProtection="1">
      <alignment horizontal="right"/>
    </xf>
    <xf numFmtId="166" fontId="0" fillId="0" borderId="0" xfId="0" applyNumberFormat="1" applyProtection="1"/>
    <xf numFmtId="0" fontId="0" fillId="5" borderId="2" xfId="0" applyFill="1" applyBorder="1" applyAlignment="1" applyProtection="1">
      <alignment horizontal="center"/>
      <protection locked="0"/>
    </xf>
    <xf numFmtId="0" fontId="11" fillId="0" borderId="0" xfId="0" applyFont="1"/>
    <xf numFmtId="168" fontId="0" fillId="0" borderId="0" xfId="1" applyNumberFormat="1" applyFont="1" applyProtection="1"/>
    <xf numFmtId="0" fontId="0" fillId="4" borderId="2" xfId="0" applyFont="1" applyFill="1" applyBorder="1" applyProtection="1"/>
    <xf numFmtId="0" fontId="7" fillId="0" borderId="0" xfId="0" quotePrefix="1" applyFont="1" applyAlignment="1" applyProtection="1">
      <alignment horizontal="center"/>
    </xf>
    <xf numFmtId="0" fontId="0" fillId="2" borderId="0" xfId="0" applyFill="1" applyBorder="1" applyAlignment="1" applyProtection="1"/>
    <xf numFmtId="0" fontId="0" fillId="0" borderId="0" xfId="0" applyBorder="1" applyAlignment="1" applyProtection="1">
      <alignment horizontal="right"/>
    </xf>
    <xf numFmtId="0" fontId="0" fillId="0" borderId="0" xfId="0" applyBorder="1" applyAlignment="1" applyProtection="1"/>
    <xf numFmtId="0" fontId="13" fillId="0" borderId="0" xfId="0" applyFont="1" applyProtection="1"/>
    <xf numFmtId="0" fontId="0" fillId="0" borderId="0" xfId="0" applyAlignment="1" applyProtection="1">
      <alignment vertical="center"/>
    </xf>
    <xf numFmtId="0" fontId="0" fillId="0" borderId="0" xfId="0" applyAlignment="1" applyProtection="1">
      <alignment horizontal="center"/>
    </xf>
    <xf numFmtId="0" fontId="14" fillId="0" borderId="0" xfId="0" applyFont="1"/>
    <xf numFmtId="0" fontId="15" fillId="7" borderId="0" xfId="0" applyFont="1" applyFill="1" applyProtection="1"/>
    <xf numFmtId="0" fontId="15" fillId="6" borderId="0" xfId="0" applyFont="1" applyFill="1" applyProtection="1"/>
    <xf numFmtId="0" fontId="0" fillId="4" borderId="9" xfId="0" applyFont="1" applyFill="1" applyBorder="1" applyProtection="1"/>
    <xf numFmtId="0" fontId="0" fillId="4" borderId="9" xfId="0" applyFill="1" applyBorder="1" applyAlignment="1" applyProtection="1">
      <alignment horizontal="center"/>
    </xf>
    <xf numFmtId="0" fontId="0" fillId="5" borderId="9" xfId="0" applyFill="1" applyBorder="1" applyAlignment="1" applyProtection="1">
      <alignment horizontal="center"/>
      <protection locked="0"/>
    </xf>
    <xf numFmtId="0" fontId="0" fillId="4" borderId="11" xfId="0" applyFont="1" applyFill="1" applyBorder="1" applyProtection="1"/>
    <xf numFmtId="0" fontId="0" fillId="4" borderId="11" xfId="0" applyFill="1" applyBorder="1" applyAlignment="1" applyProtection="1">
      <alignment horizontal="center"/>
    </xf>
    <xf numFmtId="0" fontId="0" fillId="5" borderId="11" xfId="0" applyFill="1" applyBorder="1" applyAlignment="1" applyProtection="1">
      <alignment horizontal="center"/>
      <protection locked="0"/>
    </xf>
    <xf numFmtId="0" fontId="0" fillId="0" borderId="0" xfId="0" applyAlignment="1">
      <alignment horizontal="center" vertical="center"/>
    </xf>
    <xf numFmtId="0" fontId="0" fillId="0" borderId="2" xfId="0"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wrapText="1"/>
    </xf>
    <xf numFmtId="0" fontId="16" fillId="0" borderId="2" xfId="0" applyFont="1" applyBorder="1" applyAlignment="1">
      <alignment horizontal="center" vertical="center" wrapText="1"/>
    </xf>
    <xf numFmtId="0" fontId="19" fillId="0" borderId="0" xfId="0" applyFont="1"/>
    <xf numFmtId="0" fontId="0" fillId="0" borderId="2" xfId="0" applyBorder="1" applyAlignment="1">
      <alignment horizontal="left" vertical="center"/>
    </xf>
    <xf numFmtId="0" fontId="11" fillId="0" borderId="0" xfId="0" applyFont="1" applyAlignment="1" applyProtection="1">
      <alignment horizontal="center"/>
    </xf>
    <xf numFmtId="169" fontId="0" fillId="0" borderId="0" xfId="0" applyNumberFormat="1"/>
    <xf numFmtId="0" fontId="0" fillId="0" borderId="0" xfId="0" applyAlignment="1">
      <alignment horizontal="left"/>
    </xf>
    <xf numFmtId="0" fontId="0" fillId="0" borderId="0" xfId="0" applyFill="1"/>
    <xf numFmtId="169" fontId="0" fillId="0" borderId="0" xfId="0" applyNumberFormat="1" applyFill="1"/>
    <xf numFmtId="0" fontId="0" fillId="0" borderId="0" xfId="0" applyAlignment="1">
      <alignment horizontal="right"/>
    </xf>
    <xf numFmtId="0" fontId="0" fillId="0" borderId="14" xfId="0" applyBorder="1" applyAlignment="1">
      <alignment horizontal="right"/>
    </xf>
    <xf numFmtId="0" fontId="0" fillId="0" borderId="14" xfId="0" applyBorder="1" applyAlignment="1">
      <alignment horizontal="left"/>
    </xf>
    <xf numFmtId="0" fontId="0" fillId="0" borderId="0" xfId="0" applyAlignment="1">
      <alignment horizontal="center"/>
    </xf>
    <xf numFmtId="49" fontId="0" fillId="0" borderId="0" xfId="0" applyNumberFormat="1"/>
    <xf numFmtId="0" fontId="0" fillId="0" borderId="10" xfId="0" applyBorder="1" applyAlignment="1" applyProtection="1">
      <alignment horizontal="center"/>
    </xf>
    <xf numFmtId="0" fontId="0" fillId="0" borderId="0" xfId="0" applyAlignment="1" applyProtection="1">
      <alignment horizontal="center"/>
    </xf>
    <xf numFmtId="0" fontId="5" fillId="0" borderId="0" xfId="0" applyFont="1" applyAlignment="1" applyProtection="1">
      <alignment wrapText="1"/>
    </xf>
    <xf numFmtId="0" fontId="10" fillId="0" borderId="8" xfId="0" applyFont="1" applyBorder="1" applyAlignment="1" applyProtection="1">
      <alignment horizontal="center" vertical="center" textRotation="90"/>
    </xf>
    <xf numFmtId="0" fontId="10" fillId="0" borderId="9" xfId="0" applyFont="1" applyBorder="1" applyAlignment="1" applyProtection="1">
      <alignment horizontal="center" vertical="center" textRotation="90"/>
    </xf>
    <xf numFmtId="0" fontId="5" fillId="0" borderId="3" xfId="0" applyFont="1" applyBorder="1" applyAlignment="1" applyProtection="1">
      <alignment horizontal="center"/>
    </xf>
    <xf numFmtId="0" fontId="5" fillId="0" borderId="4" xfId="0" applyFont="1" applyBorder="1" applyAlignment="1" applyProtection="1">
      <alignment horizontal="center"/>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16" fillId="0" borderId="0" xfId="0" applyFont="1" applyAlignment="1">
      <alignment horizontal="left" vertical="top" wrapText="1"/>
    </xf>
    <xf numFmtId="0" fontId="13" fillId="0" borderId="0" xfId="0" applyFont="1" applyAlignment="1">
      <alignment horizontal="center"/>
    </xf>
    <xf numFmtId="0" fontId="0" fillId="0" borderId="3" xfId="0" applyBorder="1" applyAlignment="1">
      <alignment horizontal="center" vertical="center"/>
    </xf>
    <xf numFmtId="0" fontId="0" fillId="0" borderId="12"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left" wrapText="1"/>
    </xf>
    <xf numFmtId="0" fontId="0" fillId="0" borderId="2" xfId="0" applyBorder="1" applyAlignment="1">
      <alignment horizontal="left"/>
    </xf>
    <xf numFmtId="0" fontId="17" fillId="0" borderId="13" xfId="0" applyFont="1" applyBorder="1" applyAlignment="1">
      <alignment horizontal="left" wrapText="1"/>
    </xf>
    <xf numFmtId="0" fontId="0" fillId="0" borderId="13" xfId="0" applyBorder="1" applyAlignment="1">
      <alignment horizontal="left" wrapText="1"/>
    </xf>
    <xf numFmtId="0" fontId="0" fillId="0" borderId="0" xfId="0" applyAlignment="1">
      <alignment horizontal="left"/>
    </xf>
    <xf numFmtId="0" fontId="0" fillId="0" borderId="0" xfId="0" applyAlignment="1">
      <alignment horizontal="center"/>
    </xf>
  </cellXfs>
  <cellStyles count="2">
    <cellStyle name="Comma" xfId="1" builtinId="3"/>
    <cellStyle name="Normal" xfId="0" builtinId="0"/>
  </cellStyles>
  <dxfs count="66">
    <dxf>
      <font>
        <color theme="1"/>
      </font>
      <fill>
        <patternFill>
          <bgColor theme="0" tint="-0.24994659260841701"/>
        </patternFill>
      </fill>
    </dxf>
    <dxf>
      <font>
        <b/>
        <i val="0"/>
      </font>
      <fill>
        <patternFill>
          <bgColor rgb="FFFFFF00"/>
        </patternFill>
      </fill>
    </dxf>
    <dxf>
      <font>
        <color rgb="FF9C0006"/>
      </font>
      <fill>
        <patternFill>
          <bgColor rgb="FFFFC7CE"/>
        </patternFill>
      </fill>
    </dxf>
    <dxf>
      <font>
        <b/>
        <i val="0"/>
        <color theme="1"/>
      </font>
    </dxf>
    <dxf>
      <font>
        <color rgb="FFF0FFCE"/>
      </font>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u val="none"/>
        <color theme="0"/>
      </font>
      <fill>
        <patternFill>
          <bgColor theme="5"/>
        </patternFill>
      </fill>
    </dxf>
    <dxf>
      <font>
        <color theme="0"/>
      </font>
      <fill>
        <patternFill>
          <bgColor rgb="FF0070C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ill>
        <patternFill>
          <bgColor rgb="FFFFFB26"/>
        </patternFill>
      </fill>
    </dxf>
    <dxf>
      <font>
        <b val="0"/>
        <i val="0"/>
        <strike/>
        <color theme="0" tint="-0.499984740745262"/>
      </font>
    </dxf>
    <dxf>
      <font>
        <color theme="1"/>
      </font>
      <fill>
        <patternFill>
          <bgColor rgb="FFFF0000"/>
        </patternFill>
      </fill>
    </dxf>
    <dxf>
      <font>
        <color theme="1"/>
      </font>
      <fill>
        <patternFill>
          <bgColor rgb="FFFF0000"/>
        </patternFill>
      </fill>
    </dxf>
    <dxf>
      <fill>
        <patternFill>
          <bgColor rgb="FFFF0000"/>
        </patternFill>
      </fill>
    </dxf>
    <dxf>
      <fill>
        <patternFill>
          <bgColor theme="9" tint="-0.24994659260841701"/>
        </patternFill>
      </fill>
    </dxf>
    <dxf>
      <fill>
        <patternFill>
          <bgColor rgb="FFFF0000"/>
        </patternFill>
      </fill>
    </dxf>
    <dxf>
      <fill>
        <patternFill>
          <bgColor rgb="FFFF0000"/>
        </patternFill>
      </fill>
    </dxf>
    <dxf>
      <fill>
        <patternFill>
          <bgColor rgb="FFFF0000"/>
        </patternFill>
      </fill>
    </dxf>
    <dxf>
      <font>
        <color theme="0"/>
      </font>
      <fill>
        <patternFill patternType="solid">
          <fgColor indexed="64"/>
          <bgColor rgb="FFFF0000"/>
        </patternFill>
      </fill>
    </dxf>
    <dxf>
      <font>
        <color theme="0"/>
      </font>
      <fill>
        <patternFill patternType="solid">
          <fgColor indexed="64"/>
          <bgColor rgb="FFFF0000"/>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rgb="FFFF0000"/>
        </patternFill>
      </fill>
    </dxf>
    <dxf>
      <fill>
        <patternFill>
          <bgColor rgb="FFFF0000"/>
        </patternFill>
      </fill>
    </dxf>
    <dxf>
      <font>
        <strike/>
        <color theme="0" tint="-0.34998626667073579"/>
      </font>
    </dxf>
  </dxfs>
  <tableStyles count="0" defaultTableStyle="TableStyleMedium2" defaultPivotStyle="PivotStyleLight16"/>
  <colors>
    <mruColors>
      <color rgb="FFF0FFCE"/>
      <color rgb="FFFFFB26"/>
      <color rgb="FFA2ABE2"/>
      <color rgb="FFFFE1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LF            </a:t>
            </a:r>
            <a:r>
              <a:rPr lang="en-GB" sz="3200"/>
              <a:t>Roll</a:t>
            </a:r>
            <a:r>
              <a:rPr lang="en-GB"/>
              <a:t>          RR</a:t>
            </a:r>
          </a:p>
        </c:rich>
      </c:tx>
      <c:overlay val="0"/>
    </c:title>
    <c:autoTitleDeleted val="0"/>
    <c:plotArea>
      <c:layout>
        <c:manualLayout>
          <c:layoutTarget val="inner"/>
          <c:xMode val="edge"/>
          <c:yMode val="edge"/>
          <c:x val="5.0180446194225702E-2"/>
          <c:y val="0.213571876252385"/>
          <c:w val="0.89729578445551506"/>
          <c:h val="0.72543346039124801"/>
        </c:manualLayout>
      </c:layout>
      <c:scatterChart>
        <c:scatterStyle val="lineMarker"/>
        <c:varyColors val="0"/>
        <c:ser>
          <c:idx val="0"/>
          <c:order val="0"/>
          <c:marker>
            <c:symbol val="none"/>
          </c:marker>
          <c:xVal>
            <c:numRef>
              <c:f>'Boat Plan'!$D$100:$E$100</c:f>
              <c:numCache>
                <c:formatCode>General</c:formatCode>
                <c:ptCount val="2"/>
                <c:pt idx="0">
                  <c:v>-0.57499999999999996</c:v>
                </c:pt>
                <c:pt idx="1">
                  <c:v>0.57499999999999996</c:v>
                </c:pt>
              </c:numCache>
            </c:numRef>
          </c:xVal>
          <c:yVal>
            <c:numRef>
              <c:f>'Boat Plan'!$D$101:$E$101</c:f>
              <c:numCache>
                <c:formatCode>0.000</c:formatCode>
                <c:ptCount val="2"/>
                <c:pt idx="0" formatCode="General">
                  <c:v>-9.1019124382718406</c:v>
                </c:pt>
                <c:pt idx="1">
                  <c:v>9.1019124382718406</c:v>
                </c:pt>
              </c:numCache>
            </c:numRef>
          </c:yVal>
          <c:smooth val="0"/>
          <c:extLst>
            <c:ext xmlns:c16="http://schemas.microsoft.com/office/drawing/2014/chart" uri="{C3380CC4-5D6E-409C-BE32-E72D297353CC}">
              <c16:uniqueId val="{00000000-19B3-F947-A85C-67237778B410}"/>
            </c:ext>
          </c:extLst>
        </c:ser>
        <c:ser>
          <c:idx val="1"/>
          <c:order val="1"/>
          <c:marker>
            <c:symbol val="none"/>
          </c:marker>
          <c:xVal>
            <c:numRef>
              <c:f>'Boat Plan'!$E$100:$J$100</c:f>
              <c:numCache>
                <c:formatCode>General</c:formatCode>
                <c:ptCount val="6"/>
                <c:pt idx="0">
                  <c:v>0.57499999999999996</c:v>
                </c:pt>
                <c:pt idx="1">
                  <c:v>0.57962160959453168</c:v>
                </c:pt>
                <c:pt idx="2">
                  <c:v>0.31451170369063353</c:v>
                </c:pt>
                <c:pt idx="3">
                  <c:v>-0.29674042192955241</c:v>
                </c:pt>
                <c:pt idx="4">
                  <c:v>-0.57037839040546823</c:v>
                </c:pt>
                <c:pt idx="5">
                  <c:v>-0.57499999999999996</c:v>
                </c:pt>
              </c:numCache>
            </c:numRef>
          </c:xVal>
          <c:yVal>
            <c:numRef>
              <c:f>'Boat Plan'!$E$101:$J$101</c:f>
              <c:numCache>
                <c:formatCode>General</c:formatCode>
                <c:ptCount val="6"/>
                <c:pt idx="0" formatCode="0.000">
                  <c:v>9.1019124382718406</c:v>
                </c:pt>
                <c:pt idx="1">
                  <c:v>-282.86151116947349</c:v>
                </c:pt>
                <c:pt idx="2">
                  <c:v>-556.49947964538933</c:v>
                </c:pt>
                <c:pt idx="3">
                  <c:v>-566.17524194991529</c:v>
                </c:pt>
                <c:pt idx="4">
                  <c:v>-301.06533604601714</c:v>
                </c:pt>
                <c:pt idx="5">
                  <c:v>-9.1019124382718406</c:v>
                </c:pt>
              </c:numCache>
            </c:numRef>
          </c:yVal>
          <c:smooth val="0"/>
          <c:extLst>
            <c:ext xmlns:c16="http://schemas.microsoft.com/office/drawing/2014/chart" uri="{C3380CC4-5D6E-409C-BE32-E72D297353CC}">
              <c16:uniqueId val="{00000001-19B3-F947-A85C-67237778B410}"/>
            </c:ext>
          </c:extLst>
        </c:ser>
        <c:dLbls>
          <c:showLegendKey val="0"/>
          <c:showVal val="0"/>
          <c:showCatName val="0"/>
          <c:showSerName val="0"/>
          <c:showPercent val="0"/>
          <c:showBubbleSize val="0"/>
        </c:dLbls>
        <c:axId val="-2136150560"/>
        <c:axId val="-2136147776"/>
      </c:scatterChart>
      <c:valAx>
        <c:axId val="-2136150560"/>
        <c:scaling>
          <c:orientation val="minMax"/>
          <c:max val="0.7"/>
          <c:min val="-0.7"/>
        </c:scaling>
        <c:delete val="0"/>
        <c:axPos val="b"/>
        <c:numFmt formatCode="General" sourceLinked="1"/>
        <c:majorTickMark val="none"/>
        <c:minorTickMark val="none"/>
        <c:tickLblPos val="nextTo"/>
        <c:crossAx val="-2136147776"/>
        <c:crosses val="autoZero"/>
        <c:crossBetween val="midCat"/>
        <c:majorUnit val="5"/>
        <c:minorUnit val="5"/>
      </c:valAx>
      <c:valAx>
        <c:axId val="-2136147776"/>
        <c:scaling>
          <c:orientation val="minMax"/>
          <c:max val="300"/>
          <c:min val="-700"/>
        </c:scaling>
        <c:delete val="0"/>
        <c:axPos val="l"/>
        <c:majorGridlines/>
        <c:numFmt formatCode="General" sourceLinked="1"/>
        <c:majorTickMark val="none"/>
        <c:minorTickMark val="none"/>
        <c:tickLblPos val="none"/>
        <c:crossAx val="-2136150560"/>
        <c:crosses val="autoZero"/>
        <c:crossBetween val="midCat"/>
        <c:majorUnit val="150"/>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Stern           </a:t>
            </a:r>
            <a:r>
              <a:rPr lang="en-GB" sz="3200"/>
              <a:t>Pitch</a:t>
            </a:r>
            <a:r>
              <a:rPr lang="en-GB" baseline="0"/>
              <a:t>          Bow</a:t>
            </a:r>
            <a:endParaRPr lang="en-GB"/>
          </a:p>
        </c:rich>
      </c:tx>
      <c:layout>
        <c:manualLayout>
          <c:xMode val="edge"/>
          <c:yMode val="edge"/>
          <c:x val="0.13348850317579899"/>
          <c:y val="4.5058280219402697E-2"/>
        </c:manualLayout>
      </c:layout>
      <c:overlay val="0"/>
    </c:title>
    <c:autoTitleDeleted val="0"/>
    <c:plotArea>
      <c:layout>
        <c:manualLayout>
          <c:layoutTarget val="inner"/>
          <c:xMode val="edge"/>
          <c:yMode val="edge"/>
          <c:x val="3.62915573053368E-2"/>
          <c:y val="0.24614613451895501"/>
          <c:w val="0.920555774278215"/>
          <c:h val="0.67467556138815998"/>
        </c:manualLayout>
      </c:layout>
      <c:scatterChart>
        <c:scatterStyle val="lineMarker"/>
        <c:varyColors val="0"/>
        <c:ser>
          <c:idx val="0"/>
          <c:order val="0"/>
          <c:spPr>
            <a:ln w="66675" cap="rnd">
              <a:tailEnd type="triangle"/>
            </a:ln>
          </c:spPr>
          <c:marker>
            <c:symbol val="none"/>
          </c:marker>
          <c:xVal>
            <c:numRef>
              <c:f>'Boat Plan'!$D$106:$E$106</c:f>
              <c:numCache>
                <c:formatCode>General</c:formatCode>
                <c:ptCount val="2"/>
                <c:pt idx="0">
                  <c:v>-4.1500000000000004</c:v>
                </c:pt>
                <c:pt idx="1">
                  <c:v>4.2300000000000004</c:v>
                </c:pt>
              </c:numCache>
            </c:numRef>
          </c:xVal>
          <c:yVal>
            <c:numRef>
              <c:f>'Boat Plan'!$D$107:$E$107</c:f>
              <c:numCache>
                <c:formatCode>General</c:formatCode>
                <c:ptCount val="2"/>
                <c:pt idx="0">
                  <c:v>-3.0524962668233009</c:v>
                </c:pt>
                <c:pt idx="1">
                  <c:v>3.1113395683524248</c:v>
                </c:pt>
              </c:numCache>
            </c:numRef>
          </c:yVal>
          <c:smooth val="0"/>
          <c:extLst>
            <c:ext xmlns:c16="http://schemas.microsoft.com/office/drawing/2014/chart" uri="{C3380CC4-5D6E-409C-BE32-E72D297353CC}">
              <c16:uniqueId val="{00000000-CDEB-754C-B042-42A4F833C22A}"/>
            </c:ext>
          </c:extLst>
        </c:ser>
        <c:ser>
          <c:idx val="1"/>
          <c:order val="1"/>
          <c:marker>
            <c:symbol val="none"/>
          </c:marker>
          <c:xVal>
            <c:numRef>
              <c:f>'Boat Plan'!$E$106:$H$106</c:f>
              <c:numCache>
                <c:formatCode>General</c:formatCode>
                <c:ptCount val="4"/>
                <c:pt idx="0">
                  <c:v>4.2300000000000004</c:v>
                </c:pt>
                <c:pt idx="1">
                  <c:v>1.7309054991567168</c:v>
                </c:pt>
                <c:pt idx="2">
                  <c:v>-1.6509054991567167</c:v>
                </c:pt>
                <c:pt idx="3">
                  <c:v>-4.1500000000000004</c:v>
                </c:pt>
              </c:numCache>
            </c:numRef>
          </c:xVal>
          <c:yVal>
            <c:numRef>
              <c:f>'Boat Plan'!$E$107:$H$107</c:f>
              <c:numCache>
                <c:formatCode>General</c:formatCode>
                <c:ptCount val="4"/>
                <c:pt idx="0">
                  <c:v>3.1113395683524248</c:v>
                </c:pt>
                <c:pt idx="1">
                  <c:v>-64.169236044961352</c:v>
                </c:pt>
                <c:pt idx="2">
                  <c:v>-66.656626787195492</c:v>
                </c:pt>
                <c:pt idx="3">
                  <c:v>-3.0524962668233009</c:v>
                </c:pt>
              </c:numCache>
            </c:numRef>
          </c:yVal>
          <c:smooth val="0"/>
          <c:extLst>
            <c:ext xmlns:c16="http://schemas.microsoft.com/office/drawing/2014/chart" uri="{C3380CC4-5D6E-409C-BE32-E72D297353CC}">
              <c16:uniqueId val="{00000001-CDEB-754C-B042-42A4F833C22A}"/>
            </c:ext>
          </c:extLst>
        </c:ser>
        <c:dLbls>
          <c:showLegendKey val="0"/>
          <c:showVal val="0"/>
          <c:showCatName val="0"/>
          <c:showSerName val="0"/>
          <c:showPercent val="0"/>
          <c:showBubbleSize val="0"/>
        </c:dLbls>
        <c:axId val="-2131147472"/>
        <c:axId val="-2131144688"/>
      </c:scatterChart>
      <c:valAx>
        <c:axId val="-2131147472"/>
        <c:scaling>
          <c:orientation val="minMax"/>
          <c:max val="5"/>
          <c:min val="-5"/>
        </c:scaling>
        <c:delete val="0"/>
        <c:axPos val="b"/>
        <c:numFmt formatCode="General" sourceLinked="1"/>
        <c:majorTickMark val="none"/>
        <c:minorTickMark val="none"/>
        <c:tickLblPos val="nextTo"/>
        <c:crossAx val="-2131144688"/>
        <c:crosses val="autoZero"/>
        <c:crossBetween val="midCat"/>
        <c:majorUnit val="10"/>
        <c:minorUnit val="10"/>
      </c:valAx>
      <c:valAx>
        <c:axId val="-2131144688"/>
        <c:scaling>
          <c:orientation val="minMax"/>
          <c:max val="300"/>
          <c:min val="-300"/>
        </c:scaling>
        <c:delete val="0"/>
        <c:axPos val="l"/>
        <c:majorGridlines/>
        <c:numFmt formatCode="General" sourceLinked="1"/>
        <c:majorTickMark val="none"/>
        <c:minorTickMark val="none"/>
        <c:tickLblPos val="none"/>
        <c:crossAx val="-2131147472"/>
        <c:crosses val="autoZero"/>
        <c:crossBetween val="midCat"/>
        <c:majorUnit val="100"/>
        <c:minorUnit val="30"/>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Combined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1"/>
            </a:solidFill>
            <a:ln w="28575">
              <a:noFill/>
            </a:ln>
            <a:effectLst/>
          </c:spPr>
          <c:invertIfNegative val="0"/>
          <c:xVal>
            <c:numRef>
              <c:f>'Boat Plan'!$AP$23</c:f>
              <c:numCache>
                <c:formatCode>0</c:formatCode>
                <c:ptCount val="1"/>
                <c:pt idx="0">
                  <c:v>-18</c:v>
                </c:pt>
              </c:numCache>
            </c:numRef>
          </c:xVal>
          <c:yVal>
            <c:numRef>
              <c:f>'Boat Plan'!$AQ$23</c:f>
              <c:numCache>
                <c:formatCode>0</c:formatCode>
                <c:ptCount val="1"/>
                <c:pt idx="0">
                  <c:v>6</c:v>
                </c:pt>
              </c:numCache>
            </c:numRef>
          </c:yVal>
          <c:bubbleSize>
            <c:numLit>
              <c:formatCode>General</c:formatCode>
              <c:ptCount val="2"/>
              <c:pt idx="0">
                <c:v>1</c:v>
              </c:pt>
              <c:pt idx="1">
                <c:v>1</c:v>
              </c:pt>
            </c:numLit>
          </c:bubbleSize>
          <c:bubble3D val="1"/>
          <c:extLst>
            <c:ext xmlns:c16="http://schemas.microsoft.com/office/drawing/2014/chart" uri="{C3380CC4-5D6E-409C-BE32-E72D297353CC}">
              <c16:uniqueId val="{00000000-8544-734E-9F92-2C596AA3F918}"/>
            </c:ext>
          </c:extLst>
        </c:ser>
        <c:dLbls>
          <c:showLegendKey val="0"/>
          <c:showVal val="0"/>
          <c:showCatName val="0"/>
          <c:showSerName val="0"/>
          <c:showPercent val="0"/>
          <c:showBubbleSize val="0"/>
        </c:dLbls>
        <c:bubbleScale val="50"/>
        <c:showNegBubbles val="0"/>
        <c:axId val="831919200"/>
        <c:axId val="831822656"/>
      </c:bubbleChart>
      <c:valAx>
        <c:axId val="831919200"/>
        <c:scaling>
          <c:orientation val="minMax"/>
          <c:max val="100"/>
          <c:min val="-1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22656"/>
        <c:crossesAt val="0"/>
        <c:crossBetween val="midCat"/>
      </c:valAx>
      <c:valAx>
        <c:axId val="831822656"/>
        <c:scaling>
          <c:orientation val="minMax"/>
          <c:max val="100"/>
          <c:min val="-1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19200"/>
        <c:crossesAt val="0"/>
        <c:crossBetween val="midCat"/>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18</xdr:col>
      <xdr:colOff>63500</xdr:colOff>
      <xdr:row>7</xdr:row>
      <xdr:rowOff>79375</xdr:rowOff>
    </xdr:from>
    <xdr:to>
      <xdr:col>20</xdr:col>
      <xdr:colOff>253999</xdr:colOff>
      <xdr:row>39</xdr:row>
      <xdr:rowOff>31750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6985000" y="1527175"/>
          <a:ext cx="1282699" cy="6454775"/>
        </a:xfrm>
        <a:prstGeom prst="ellipse">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307975</xdr:colOff>
      <xdr:row>3</xdr:row>
      <xdr:rowOff>88899</xdr:rowOff>
    </xdr:from>
    <xdr:to>
      <xdr:col>19</xdr:col>
      <xdr:colOff>469900</xdr:colOff>
      <xdr:row>6</xdr:row>
      <xdr:rowOff>15874</xdr:rowOff>
    </xdr:to>
    <xdr:sp macro="" textlink="">
      <xdr:nvSpPr>
        <xdr:cNvPr id="3" name="Up Arrow 2">
          <a:extLst>
            <a:ext uri="{FF2B5EF4-FFF2-40B4-BE49-F238E27FC236}">
              <a16:creationId xmlns:a16="http://schemas.microsoft.com/office/drawing/2014/main" id="{00000000-0008-0000-0000-000003000000}"/>
            </a:ext>
          </a:extLst>
        </xdr:cNvPr>
        <xdr:cNvSpPr/>
      </xdr:nvSpPr>
      <xdr:spPr>
        <a:xfrm>
          <a:off x="7559675" y="774699"/>
          <a:ext cx="161925" cy="49847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266700</xdr:colOff>
      <xdr:row>22</xdr:row>
      <xdr:rowOff>114300</xdr:rowOff>
    </xdr:from>
    <xdr:to>
      <xdr:col>25</xdr:col>
      <xdr:colOff>165100</xdr:colOff>
      <xdr:row>22</xdr:row>
      <xdr:rowOff>123827</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flipV="1">
          <a:off x="5486400" y="4648200"/>
          <a:ext cx="4318000" cy="9527"/>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371475</xdr:colOff>
      <xdr:row>4</xdr:row>
      <xdr:rowOff>57151</xdr:rowOff>
    </xdr:from>
    <xdr:to>
      <xdr:col>19</xdr:col>
      <xdr:colOff>390525</xdr:colOff>
      <xdr:row>39</xdr:row>
      <xdr:rowOff>180975</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flipV="1">
          <a:off x="7623175" y="933451"/>
          <a:ext cx="19050" cy="7185024"/>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30</xdr:col>
      <xdr:colOff>66675</xdr:colOff>
      <xdr:row>3</xdr:row>
      <xdr:rowOff>88900</xdr:rowOff>
    </xdr:from>
    <xdr:to>
      <xdr:col>35</xdr:col>
      <xdr:colOff>295275</xdr:colOff>
      <xdr:row>22</xdr:row>
      <xdr:rowOff>28574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10583</xdr:colOff>
      <xdr:row>24</xdr:row>
      <xdr:rowOff>86255</xdr:rowOff>
    </xdr:from>
    <xdr:to>
      <xdr:col>35</xdr:col>
      <xdr:colOff>241300</xdr:colOff>
      <xdr:row>34</xdr:row>
      <xdr:rowOff>177800</xdr:rowOff>
    </xdr:to>
    <xdr:graphicFrame macro="">
      <xdr:nvGraphicFramePr>
        <xdr:cNvPr id="14" name="Chart 13">
          <a:extLst>
            <a:ext uri="{FF2B5EF4-FFF2-40B4-BE49-F238E27FC236}">
              <a16:creationId xmlns:a16="http://schemas.microsoft.com/office/drawing/2014/main" id="{00000000-0008-0000-0000-00000E000000}"/>
            </a:ext>
            <a:ext uri="{147F2762-F138-4A5C-976F-8EAC2B608ADB}">
              <a16:predDERef xmlns:a16="http://schemas.microsoft.com/office/drawing/2014/main" pre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6350</xdr:colOff>
      <xdr:row>35</xdr:row>
      <xdr:rowOff>120650</xdr:rowOff>
    </xdr:from>
    <xdr:to>
      <xdr:col>35</xdr:col>
      <xdr:colOff>596900</xdr:colOff>
      <xdr:row>50</xdr:row>
      <xdr:rowOff>25400</xdr:rowOff>
    </xdr:to>
    <xdr:graphicFrame macro="">
      <xdr:nvGraphicFramePr>
        <xdr:cNvPr id="11" name="Chart 10">
          <a:extLst>
            <a:ext uri="{FF2B5EF4-FFF2-40B4-BE49-F238E27FC236}">
              <a16:creationId xmlns:a16="http://schemas.microsoft.com/office/drawing/2014/main" id="{CA6FA3B3-5334-9447-86EC-4C6369E12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139700</xdr:colOff>
      <xdr:row>12</xdr:row>
      <xdr:rowOff>177800</xdr:rowOff>
    </xdr:from>
    <xdr:to>
      <xdr:col>25</xdr:col>
      <xdr:colOff>330200</xdr:colOff>
      <xdr:row>37</xdr:row>
      <xdr:rowOff>127000</xdr:rowOff>
    </xdr:to>
    <xdr:sp macro="" textlink="">
      <xdr:nvSpPr>
        <xdr:cNvPr id="4" name="Rectangle 3">
          <a:extLst>
            <a:ext uri="{FF2B5EF4-FFF2-40B4-BE49-F238E27FC236}">
              <a16:creationId xmlns:a16="http://schemas.microsoft.com/office/drawing/2014/main" id="{D42D3728-CBB1-534E-88A9-BA8DF47FE999}"/>
            </a:ext>
          </a:extLst>
        </xdr:cNvPr>
        <xdr:cNvSpPr/>
      </xdr:nvSpPr>
      <xdr:spPr>
        <a:xfrm>
          <a:off x="5359400" y="2590800"/>
          <a:ext cx="4610100" cy="5105400"/>
        </a:xfrm>
        <a:prstGeom prst="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92075</xdr:colOff>
      <xdr:row>5</xdr:row>
      <xdr:rowOff>139700</xdr:rowOff>
    </xdr:from>
    <xdr:to>
      <xdr:col>30</xdr:col>
      <xdr:colOff>200025</xdr:colOff>
      <xdr:row>15</xdr:row>
      <xdr:rowOff>228600</xdr:rowOff>
    </xdr:to>
    <xdr:sp macro="" textlink="">
      <xdr:nvSpPr>
        <xdr:cNvPr id="7" name="Rectangle 6">
          <a:extLst>
            <a:ext uri="{FF2B5EF4-FFF2-40B4-BE49-F238E27FC236}">
              <a16:creationId xmlns:a16="http://schemas.microsoft.com/office/drawing/2014/main" id="{8F7EEA85-8E7A-D342-BD8E-3080A2DC47F6}"/>
            </a:ext>
          </a:extLst>
        </xdr:cNvPr>
        <xdr:cNvSpPr/>
      </xdr:nvSpPr>
      <xdr:spPr>
        <a:xfrm>
          <a:off x="4416425" y="1196975"/>
          <a:ext cx="74326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usually be password protected to allow only entries in columns F, G, H, I</a:t>
          </a:r>
        </a:p>
        <a:p>
          <a:pPr algn="l"/>
          <a:endParaRPr lang="en-GB" sz="1100"/>
        </a:p>
        <a:p>
          <a:pPr algn="l"/>
          <a:r>
            <a:rPr lang="en-GB" sz="1100"/>
            <a:t>If you play around with seat positiins in these columns you will see conditional formatting</a:t>
          </a:r>
          <a:r>
            <a:rPr lang="en-GB" sz="1100" baseline="0"/>
            <a:t> is in place to alert user to errors</a:t>
          </a:r>
        </a:p>
        <a:p>
          <a:pPr algn="l"/>
          <a:endParaRPr lang="en-GB" sz="1100" baseline="0"/>
        </a:p>
        <a:p>
          <a:pPr algn="l"/>
          <a:r>
            <a:rPr lang="en-GB" sz="1100" baseline="0"/>
            <a:t>this sheet feeds For the Record (used to record elsewhere who attended a session and where they sat)</a:t>
          </a:r>
        </a:p>
        <a:p>
          <a:pPr algn="l"/>
          <a:endParaRPr lang="en-GB" sz="1100" baseline="0"/>
        </a:p>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6</xdr:row>
      <xdr:rowOff>0</xdr:rowOff>
    </xdr:from>
    <xdr:to>
      <xdr:col>16</xdr:col>
      <xdr:colOff>177800</xdr:colOff>
      <xdr:row>16</xdr:row>
      <xdr:rowOff>127000</xdr:rowOff>
    </xdr:to>
    <xdr:sp macro="" textlink="">
      <xdr:nvSpPr>
        <xdr:cNvPr id="2" name="Rectangle 1">
          <a:extLst>
            <a:ext uri="{FF2B5EF4-FFF2-40B4-BE49-F238E27FC236}">
              <a16:creationId xmlns:a16="http://schemas.microsoft.com/office/drawing/2014/main" id="{8B036279-731C-3B40-957B-2C726BC4DD35}"/>
            </a:ext>
          </a:extLst>
        </xdr:cNvPr>
        <xdr:cNvSpPr/>
      </xdr:nvSpPr>
      <xdr:spPr>
        <a:xfrm>
          <a:off x="3670300" y="11430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is the entry point for information abouit each paddler and whether they are involved in an activity (column A).  </a:t>
          </a:r>
        </a:p>
        <a:p>
          <a:pPr algn="l"/>
          <a:endParaRPr lang="en-GB" sz="1100" baseline="0"/>
        </a:p>
        <a:p>
          <a:pPr algn="l"/>
          <a:r>
            <a:rPr lang="en-GB" sz="1100" baseline="0"/>
            <a:t>Yellow conditional highlighting shows that the date of the last weight provided is more than 6 months ago</a:t>
          </a:r>
        </a:p>
        <a:p>
          <a:pPr algn="l"/>
          <a:endParaRPr lang="en-GB" sz="1100" baseline="0"/>
        </a:p>
        <a:p>
          <a:pPr algn="l"/>
          <a:r>
            <a:rPr lang="en-GB" sz="1100" baseline="0"/>
            <a:t>This sheet feeds 'Crew'</a:t>
          </a:r>
        </a:p>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514350</xdr:colOff>
      <xdr:row>14</xdr:row>
      <xdr:rowOff>114300</xdr:rowOff>
    </xdr:from>
    <xdr:to>
      <xdr:col>21</xdr:col>
      <xdr:colOff>225425</xdr:colOff>
      <xdr:row>25</xdr:row>
      <xdr:rowOff>50800</xdr:rowOff>
    </xdr:to>
    <xdr:sp macro="" textlink="">
      <xdr:nvSpPr>
        <xdr:cNvPr id="2" name="Rectangle 1">
          <a:extLst>
            <a:ext uri="{FF2B5EF4-FFF2-40B4-BE49-F238E27FC236}">
              <a16:creationId xmlns:a16="http://schemas.microsoft.com/office/drawing/2014/main" id="{284AF588-5044-5649-B2B0-6B210DC7BB54}"/>
            </a:ext>
          </a:extLst>
        </xdr:cNvPr>
        <xdr:cNvSpPr/>
      </xdr:nvSpPr>
      <xdr:spPr>
        <a:xfrm>
          <a:off x="9534525" y="2781300"/>
          <a:ext cx="76739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consolidates infomration about crew members and feeds Boat Plan and BDA Crew List</a:t>
          </a:r>
          <a:endParaRPr lang="en-GB" sz="1100" baseline="0"/>
        </a:p>
        <a:p>
          <a:pPr algn="l"/>
          <a:endParaRPr lang="en-GB" sz="1100" baseline="0"/>
        </a:p>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447676</xdr:colOff>
      <xdr:row>1</xdr:row>
      <xdr:rowOff>152400</xdr:rowOff>
    </xdr:from>
    <xdr:to>
      <xdr:col>7</xdr:col>
      <xdr:colOff>261390</xdr:colOff>
      <xdr:row>14</xdr:row>
      <xdr:rowOff>152400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47676" y="342900"/>
          <a:ext cx="4080914" cy="2476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0</xdr:colOff>
      <xdr:row>2</xdr:row>
      <xdr:rowOff>0</xdr:rowOff>
    </xdr:from>
    <xdr:to>
      <xdr:col>24</xdr:col>
      <xdr:colOff>558800</xdr:colOff>
      <xdr:row>24</xdr:row>
      <xdr:rowOff>152400</xdr:rowOff>
    </xdr:to>
    <xdr:pic>
      <xdr:nvPicPr>
        <xdr:cNvPr id="2" name="Picture 1">
          <a:extLst>
            <a:ext uri="{FF2B5EF4-FFF2-40B4-BE49-F238E27FC236}">
              <a16:creationId xmlns:a16="http://schemas.microsoft.com/office/drawing/2014/main" id="{229F4B6B-0EF7-874F-8681-9A44E040016B}"/>
            </a:ext>
          </a:extLst>
        </xdr:cNvPr>
        <xdr:cNvPicPr>
          <a:picLocks noChangeAspect="1"/>
        </xdr:cNvPicPr>
      </xdr:nvPicPr>
      <xdr:blipFill>
        <a:blip xmlns:r="http://schemas.openxmlformats.org/officeDocument/2006/relationships" r:embed="rId1"/>
        <a:stretch>
          <a:fillRect/>
        </a:stretch>
      </xdr:blipFill>
      <xdr:spPr>
        <a:xfrm>
          <a:off x="14033500" y="190500"/>
          <a:ext cx="6337300" cy="9042400"/>
        </a:xfrm>
        <a:prstGeom prst="rect">
          <a:avLst/>
        </a:prstGeom>
      </xdr:spPr>
    </xdr:pic>
    <xdr:clientData/>
  </xdr:twoCellAnchor>
  <xdr:twoCellAnchor>
    <xdr:from>
      <xdr:col>5</xdr:col>
      <xdr:colOff>0</xdr:colOff>
      <xdr:row>12</xdr:row>
      <xdr:rowOff>0</xdr:rowOff>
    </xdr:from>
    <xdr:to>
      <xdr:col>13</xdr:col>
      <xdr:colOff>774700</xdr:colOff>
      <xdr:row>17</xdr:row>
      <xdr:rowOff>127000</xdr:rowOff>
    </xdr:to>
    <xdr:sp macro="" textlink="">
      <xdr:nvSpPr>
        <xdr:cNvPr id="3" name="Rectangle 2">
          <a:extLst>
            <a:ext uri="{FF2B5EF4-FFF2-40B4-BE49-F238E27FC236}">
              <a16:creationId xmlns:a16="http://schemas.microsoft.com/office/drawing/2014/main" id="{6F2BF403-C6F3-2D48-A544-B16C7022C03F}"/>
            </a:ext>
          </a:extLst>
        </xdr:cNvPr>
        <xdr:cNvSpPr/>
      </xdr:nvSpPr>
      <xdr:spPr>
        <a:xfrm>
          <a:off x="4381500" y="3771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be used to print out a document required by race officials</a:t>
          </a:r>
          <a:endParaRPr lang="en-GB" sz="1100" baseline="0"/>
        </a:p>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609600</xdr:colOff>
      <xdr:row>11</xdr:row>
      <xdr:rowOff>25400</xdr:rowOff>
    </xdr:from>
    <xdr:to>
      <xdr:col>15</xdr:col>
      <xdr:colOff>190500</xdr:colOff>
      <xdr:row>26</xdr:row>
      <xdr:rowOff>88900</xdr:rowOff>
    </xdr:to>
    <xdr:sp macro="" textlink="">
      <xdr:nvSpPr>
        <xdr:cNvPr id="2" name="Rectangle 1">
          <a:extLst>
            <a:ext uri="{FF2B5EF4-FFF2-40B4-BE49-F238E27FC236}">
              <a16:creationId xmlns:a16="http://schemas.microsoft.com/office/drawing/2014/main" id="{8CC2F1C6-DA06-1B4D-8264-3A29A4F250B9}"/>
            </a:ext>
          </a:extLst>
        </xdr:cNvPr>
        <xdr:cNvSpPr/>
      </xdr:nvSpPr>
      <xdr:spPr>
        <a:xfrm>
          <a:off x="3467100" y="1612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I copy this image into a separate</a:t>
          </a:r>
          <a:r>
            <a:rPr lang="en-GB" sz="1100" baseline="0"/>
            <a:t> COVID record sheet</a:t>
          </a: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Q107"/>
  <sheetViews>
    <sheetView showGridLines="0" tabSelected="1" workbookViewId="0">
      <pane ySplit="3" topLeftCell="A22" activePane="bottomLeft" state="frozen"/>
      <selection activeCell="H1" sqref="H1"/>
      <selection pane="bottomLeft" activeCell="AC17" sqref="AC17"/>
    </sheetView>
  </sheetViews>
  <sheetFormatPr defaultColWidth="8.85546875" defaultRowHeight="15" x14ac:dyDescent="0.25"/>
  <cols>
    <col min="1" max="1" width="4.140625" style="6" customWidth="1"/>
    <col min="2" max="2" width="22.7109375" style="6" customWidth="1"/>
    <col min="3" max="3" width="5.140625" style="7" customWidth="1"/>
    <col min="4" max="4" width="5.7109375" style="6" customWidth="1"/>
    <col min="5" max="5" width="12.7109375" style="7" bestFit="1" customWidth="1"/>
    <col min="6" max="6" width="4.42578125" style="7" customWidth="1"/>
    <col min="7" max="7" width="5.28515625" style="7" customWidth="1"/>
    <col min="8" max="8" width="4.7109375" style="7" customWidth="1"/>
    <col min="9" max="9" width="5.28515625" style="7" customWidth="1"/>
    <col min="10" max="10" width="5.85546875" style="7" customWidth="1"/>
    <col min="11" max="11" width="5.85546875" style="9" customWidth="1"/>
    <col min="12" max="17" width="9.140625" style="6" hidden="1" customWidth="1"/>
    <col min="18" max="18" width="16.42578125" style="10" customWidth="1"/>
    <col min="19" max="19" width="4.28515625" style="11" customWidth="1"/>
    <col min="20" max="20" width="10" style="12" bestFit="1" customWidth="1"/>
    <col min="21" max="21" width="4.28515625" style="6" customWidth="1"/>
    <col min="22" max="22" width="17" style="6" customWidth="1"/>
    <col min="23" max="25" width="9.140625" style="6" hidden="1" customWidth="1"/>
    <col min="26" max="26" width="5.140625" style="13" customWidth="1"/>
    <col min="27" max="27" width="9.140625" style="6" bestFit="1" customWidth="1"/>
    <col min="28" max="30" width="8.85546875" style="6"/>
    <col min="31" max="31" width="8.85546875" style="7"/>
    <col min="32" max="33" width="12.42578125" style="7" customWidth="1"/>
    <col min="34" max="35" width="8.85546875" style="7"/>
    <col min="36" max="36" width="8.85546875" style="6"/>
    <col min="37" max="37" width="0" style="6" hidden="1" customWidth="1"/>
    <col min="38" max="16384" width="8.85546875" style="6"/>
  </cols>
  <sheetData>
    <row r="1" spans="1:40" x14ac:dyDescent="0.25">
      <c r="B1" s="10" t="s">
        <v>84</v>
      </c>
      <c r="C1" s="77">
        <v>210519</v>
      </c>
      <c r="D1" s="77"/>
      <c r="H1" s="8">
        <f>COUNTA(Drum)</f>
        <v>1</v>
      </c>
      <c r="I1" s="8">
        <f>COUNTA(Helm)</f>
        <v>1</v>
      </c>
      <c r="AF1" s="7" t="s">
        <v>63</v>
      </c>
    </row>
    <row r="2" spans="1:40" ht="18.95" customHeight="1" x14ac:dyDescent="0.25">
      <c r="B2" s="14"/>
      <c r="C2" s="80" t="s">
        <v>66</v>
      </c>
      <c r="D2" s="14"/>
      <c r="E2" s="15"/>
      <c r="F2" s="82" t="s">
        <v>27</v>
      </c>
      <c r="G2" s="83"/>
      <c r="H2" s="15"/>
      <c r="I2" s="15"/>
      <c r="AF2" s="7" t="s">
        <v>89</v>
      </c>
    </row>
    <row r="3" spans="1:40" ht="20.100000000000001" customHeight="1" x14ac:dyDescent="0.25">
      <c r="B3" s="16" t="s">
        <v>31</v>
      </c>
      <c r="C3" s="81"/>
      <c r="D3" s="17" t="s">
        <v>19</v>
      </c>
      <c r="E3" s="17" t="s">
        <v>61</v>
      </c>
      <c r="F3" s="17" t="s">
        <v>17</v>
      </c>
      <c r="G3" s="17" t="s">
        <v>18</v>
      </c>
      <c r="H3" s="17" t="s">
        <v>21</v>
      </c>
      <c r="I3" s="17" t="s">
        <v>10</v>
      </c>
    </row>
    <row r="4" spans="1:40" x14ac:dyDescent="0.25">
      <c r="A4" s="67">
        <v>1</v>
      </c>
      <c r="B4" s="43" t="str">
        <f>IF(Crew!D2=0,"",Crew!D2)</f>
        <v>1 A *R</v>
      </c>
      <c r="C4" s="3" t="str">
        <f>IF(ISNA(VLOOKUP(B4,'Master Database'!$C$2:$J$67,2,FALSE)),"",VLOOKUP(B4,'Master Database'!$C$2:$J$67,2,FALSE))</f>
        <v>M</v>
      </c>
      <c r="D4" s="3" t="str">
        <f>IF(ISNA(VLOOKUP(B4,'Master Database'!$C$2:$J$67,3,FALSE)),"",VLOOKUP(B4,'Master Database'!$C$2:$J$67,3,FALSE))</f>
        <v>*R</v>
      </c>
      <c r="E4" s="3">
        <f>IF(ISNA(VLOOKUP(B4,'Master Database'!$C$2:$J$67,4,FALSE)),"",VLOOKUP(B4,'Master Database'!$C$2:$J$67,4,FALSE))</f>
        <v>73</v>
      </c>
      <c r="F4" s="40">
        <v>4</v>
      </c>
      <c r="G4" s="40"/>
      <c r="H4" s="40"/>
      <c r="I4" s="40"/>
      <c r="AK4" s="6" t="str">
        <f t="shared" ref="AK4:AK13" si="0">IF(F4="",1,"")</f>
        <v/>
      </c>
    </row>
    <row r="5" spans="1:40" x14ac:dyDescent="0.25">
      <c r="A5" s="67">
        <v>2</v>
      </c>
      <c r="B5" s="43" t="str">
        <f>IF(Crew!D3=0,"",Crew!D3)</f>
        <v>2 A **</v>
      </c>
      <c r="C5" s="3" t="str">
        <f>IF(ISNA(VLOOKUP(B5,'Master Database'!$C$2:$J$67,2,FALSE)),"",VLOOKUP(B5,'Master Database'!$C$2:$J$67,2,FALSE))</f>
        <v>M</v>
      </c>
      <c r="D5" s="3" t="str">
        <f>IF(ISNA(VLOOKUP(B5,'Master Database'!$C$2:$J$67,3,FALSE)),"",VLOOKUP(B5,'Master Database'!$C$2:$J$67,3,FALSE))</f>
        <v>**</v>
      </c>
      <c r="E5" s="3">
        <f>IF(ISNA(VLOOKUP(B5,'Master Database'!$C$2:$J$67,4,FALSE)),"",VLOOKUP(B5,'Master Database'!$C$2:$J$67,4,FALSE))</f>
        <v>97</v>
      </c>
      <c r="F5" s="40">
        <v>3</v>
      </c>
      <c r="G5" s="40"/>
      <c r="H5" s="40"/>
      <c r="I5" s="40"/>
      <c r="AA5" s="53" t="s">
        <v>92</v>
      </c>
      <c r="AB5" s="53">
        <f>COUNTIF($S$15:$S$33,"M")+COUNTIF($U$15:$U$33,"M")</f>
        <v>11</v>
      </c>
      <c r="AK5" s="6" t="str">
        <f t="shared" si="0"/>
        <v/>
      </c>
    </row>
    <row r="6" spans="1:40" x14ac:dyDescent="0.25">
      <c r="A6" s="67">
        <v>3</v>
      </c>
      <c r="B6" s="43" t="str">
        <f>IF(Crew!D4=0,"",Crew!D4)</f>
        <v>3 A **</v>
      </c>
      <c r="C6" s="3" t="str">
        <f>IF(ISNA(VLOOKUP(B6,'Master Database'!$C$2:$J$67,2,FALSE)),"",VLOOKUP(B6,'Master Database'!$C$2:$J$67,2,FALSE))</f>
        <v>M</v>
      </c>
      <c r="D6" s="3" t="str">
        <f>IF(ISNA(VLOOKUP(B6,'Master Database'!$C$2:$J$67,3,FALSE)),"",VLOOKUP(B6,'Master Database'!$C$2:$J$67,3,FALSE))</f>
        <v>**</v>
      </c>
      <c r="E6" s="3">
        <f>IF(ISNA(VLOOKUP(B6,'Master Database'!$C$2:$J$67,4,FALSE)),"",VLOOKUP(B6,'Master Database'!$C$2:$J$67,4,FALSE))</f>
        <v>77</v>
      </c>
      <c r="F6" s="40">
        <v>2</v>
      </c>
      <c r="G6" s="40"/>
      <c r="H6" s="40"/>
      <c r="I6" s="40"/>
      <c r="AA6" s="52" t="s">
        <v>93</v>
      </c>
      <c r="AB6" s="52">
        <f>COUNTIF($S$15:$S$33,"F")+COUNTIF($U$15:$U$33,"F")</f>
        <v>3</v>
      </c>
      <c r="AK6" s="6" t="str">
        <f t="shared" si="0"/>
        <v/>
      </c>
    </row>
    <row r="7" spans="1:40" x14ac:dyDescent="0.25">
      <c r="A7" s="67">
        <v>4</v>
      </c>
      <c r="B7" s="43" t="str">
        <f>IF(Crew!D5=0,"",Crew!D5)</f>
        <v>4 A</v>
      </c>
      <c r="C7" s="3" t="str">
        <f>IF(ISNA(VLOOKUP(B7,'Master Database'!$C$2:$J$67,2,FALSE)),"",VLOOKUP(B7,'Master Database'!$C$2:$J$67,2,FALSE))</f>
        <v>M</v>
      </c>
      <c r="D7" s="3" t="str">
        <f>IF(ISNA(VLOOKUP(B7,'Master Database'!$C$2:$J$67,3,FALSE)),"",VLOOKUP(B7,'Master Database'!$C$2:$J$67,3,FALSE))</f>
        <v>RR</v>
      </c>
      <c r="E7" s="3">
        <f>IF(ISNA(VLOOKUP(B7,'Master Database'!$C$2:$J$67,4,FALSE)),"",VLOOKUP(B7,'Master Database'!$C$2:$J$67,4,FALSE))</f>
        <v>95</v>
      </c>
      <c r="F7" s="40"/>
      <c r="G7" s="40">
        <v>3</v>
      </c>
      <c r="H7" s="40"/>
      <c r="I7" s="40"/>
      <c r="R7" s="18" t="s">
        <v>17</v>
      </c>
      <c r="V7" s="19" t="s">
        <v>18</v>
      </c>
      <c r="AK7" s="6">
        <f t="shared" si="0"/>
        <v>1</v>
      </c>
      <c r="AM7" s="20" t="s">
        <v>17</v>
      </c>
      <c r="AN7" s="20" t="s">
        <v>18</v>
      </c>
    </row>
    <row r="8" spans="1:40" ht="15" customHeight="1" x14ac:dyDescent="0.25">
      <c r="A8" s="67">
        <v>5</v>
      </c>
      <c r="B8" s="43" t="str">
        <f>IF(Crew!D6=0,"",Crew!D6)</f>
        <v>5 A **</v>
      </c>
      <c r="C8" s="3" t="str">
        <f>IF(ISNA(VLOOKUP(B8,'Master Database'!$C$2:$J$67,2,FALSE)),"",VLOOKUP(B8,'Master Database'!$C$2:$J$67,2,FALSE))</f>
        <v>M</v>
      </c>
      <c r="D8" s="3" t="str">
        <f>IF(ISNA(VLOOKUP(B8,'Master Database'!$C$2:$J$67,3,FALSE)),"",VLOOKUP(B8,'Master Database'!$C$2:$J$67,3,FALSE))</f>
        <v>**</v>
      </c>
      <c r="E8" s="3">
        <f>IF(ISNA(VLOOKUP(B8,'Master Database'!$C$2:$J$67,4,FALSE)),"",VLOOKUP(B8,'Master Database'!$C$2:$J$67,4,FALSE))</f>
        <v>80</v>
      </c>
      <c r="F8" s="40"/>
      <c r="G8" s="40">
        <v>5</v>
      </c>
      <c r="H8" s="40"/>
      <c r="I8" s="40"/>
      <c r="O8" s="79" t="s">
        <v>33</v>
      </c>
      <c r="P8" s="79" t="s">
        <v>34</v>
      </c>
      <c r="Q8" s="79" t="s">
        <v>29</v>
      </c>
      <c r="W8" s="79" t="s">
        <v>29</v>
      </c>
      <c r="X8" s="79" t="s">
        <v>34</v>
      </c>
      <c r="Y8" s="79" t="s">
        <v>33</v>
      </c>
      <c r="AK8" s="6">
        <f t="shared" si="0"/>
        <v>1</v>
      </c>
      <c r="AM8" s="20" t="s">
        <v>39</v>
      </c>
      <c r="AN8" s="20" t="s">
        <v>39</v>
      </c>
    </row>
    <row r="9" spans="1:40" x14ac:dyDescent="0.25">
      <c r="A9" s="67">
        <v>6</v>
      </c>
      <c r="B9" s="43" t="str">
        <f>IF(Crew!D7=0,"",Crew!D7)</f>
        <v>6 A **</v>
      </c>
      <c r="C9" s="3" t="str">
        <f>IF(ISNA(VLOOKUP(B9,'Master Database'!$C$2:$J$67,2,FALSE)),"",VLOOKUP(B9,'Master Database'!$C$2:$J$67,2,FALSE))</f>
        <v>M</v>
      </c>
      <c r="D9" s="3" t="str">
        <f>IF(ISNA(VLOOKUP(B9,'Master Database'!$C$2:$J$67,3,FALSE)),"",VLOOKUP(B9,'Master Database'!$C$2:$J$67,3,FALSE))</f>
        <v>**</v>
      </c>
      <c r="E9" s="3">
        <f>IF(ISNA(VLOOKUP(B9,'Master Database'!$C$2:$J$67,4,FALSE)),"",VLOOKUP(B9,'Master Database'!$C$2:$J$67,4,FALSE))</f>
        <v>54</v>
      </c>
      <c r="F9" s="40"/>
      <c r="G9" s="40">
        <v>6</v>
      </c>
      <c r="H9" s="40"/>
      <c r="I9" s="40"/>
      <c r="O9" s="79"/>
      <c r="P9" s="79"/>
      <c r="Q9" s="79"/>
      <c r="W9" s="79"/>
      <c r="X9" s="79"/>
      <c r="Y9" s="79"/>
      <c r="AK9" s="6">
        <f t="shared" si="0"/>
        <v>1</v>
      </c>
      <c r="AM9" s="21">
        <f>D83</f>
        <v>1851.4650000000001</v>
      </c>
      <c r="AN9" s="21">
        <f>E83</f>
        <v>1735.384</v>
      </c>
    </row>
    <row r="10" spans="1:40" ht="15.75" customHeight="1" thickBot="1" x14ac:dyDescent="0.3">
      <c r="A10" s="67">
        <v>7</v>
      </c>
      <c r="B10" s="43" t="str">
        <f>IF(Crew!D8=0,"",Crew!D8)</f>
        <v>7 A **</v>
      </c>
      <c r="C10" s="3" t="str">
        <f>IF(ISNA(VLOOKUP(B10,'Master Database'!$C$2:$J$67,2,FALSE)),"",VLOOKUP(B10,'Master Database'!$C$2:$J$67,2,FALSE))</f>
        <v>M</v>
      </c>
      <c r="D10" s="3" t="str">
        <f>IF(ISNA(VLOOKUP(B10,'Master Database'!$C$2:$J$67,3,FALSE)),"",VLOOKUP(B10,'Master Database'!$C$2:$J$67,3,FALSE))</f>
        <v>**</v>
      </c>
      <c r="E10" s="3">
        <f>IF(ISNA(VLOOKUP(B10,'Master Database'!$C$2:$J$67,4,FALSE)),"",VLOOKUP(B10,'Master Database'!$C$2:$J$67,4,FALSE))</f>
        <v>95</v>
      </c>
      <c r="F10" s="40"/>
      <c r="G10" s="40">
        <v>4</v>
      </c>
      <c r="H10" s="40"/>
      <c r="I10" s="40"/>
      <c r="L10" s="6" t="s">
        <v>30</v>
      </c>
      <c r="M10" s="6" t="s">
        <v>28</v>
      </c>
      <c r="O10" s="79"/>
      <c r="P10" s="79"/>
      <c r="Q10" s="79"/>
      <c r="W10" s="79"/>
      <c r="X10" s="79"/>
      <c r="Y10" s="79"/>
      <c r="AC10" s="20" t="s">
        <v>47</v>
      </c>
      <c r="AK10" s="6">
        <f t="shared" si="0"/>
        <v>1</v>
      </c>
    </row>
    <row r="11" spans="1:40" ht="15.75" thickBot="1" x14ac:dyDescent="0.3">
      <c r="A11" s="67">
        <v>8</v>
      </c>
      <c r="B11" s="43" t="str">
        <f>IF(Crew!D9=0,"",Crew!D9)</f>
        <v>8 A</v>
      </c>
      <c r="C11" s="3" t="str">
        <f>IF(ISNA(VLOOKUP(B11,'Master Database'!$C$2:$J$67,2,FALSE)),"",VLOOKUP(B11,'Master Database'!$C$2:$J$67,2,FALSE))</f>
        <v>M</v>
      </c>
      <c r="D11" s="3" t="str">
        <f>IF(ISNA(VLOOKUP(B11,'Master Database'!$C$2:$J$67,3,FALSE)),"",VLOOKUP(B11,'Master Database'!$C$2:$J$67,3,FALSE))</f>
        <v>LF</v>
      </c>
      <c r="E11" s="3">
        <f>IF(ISNA(VLOOKUP(B11,'Master Database'!$C$2:$J$67,4,FALSE)),"",VLOOKUP(B11,'Master Database'!$C$2:$J$67,4,FALSE))</f>
        <v>95</v>
      </c>
      <c r="F11" s="40">
        <v>6</v>
      </c>
      <c r="G11" s="40"/>
      <c r="H11" s="40"/>
      <c r="I11" s="40"/>
      <c r="K11" s="9">
        <f>IF(ISNA(VLOOKUP(S11,Team,4,FALSE)),"",VLOOKUP(S11,Team,4,FALSE))</f>
        <v>60</v>
      </c>
      <c r="L11" s="22">
        <v>0</v>
      </c>
      <c r="M11" s="22">
        <v>4.2300000000000004</v>
      </c>
      <c r="O11" s="6">
        <f>Q11*L11</f>
        <v>0</v>
      </c>
      <c r="P11" s="6">
        <f>Q11*M11</f>
        <v>2901.78</v>
      </c>
      <c r="Q11" s="23">
        <f>IF(S11="tbd",0,(INDEX(Weight,MATCH(S11,People,0))+10)*9.8)</f>
        <v>686</v>
      </c>
      <c r="R11" s="46"/>
      <c r="S11" s="84" t="str">
        <f>IFERROR(INDEX(People,MATCH(T13,Drum,0)),"tbd")</f>
        <v>16 A **</v>
      </c>
      <c r="T11" s="85"/>
      <c r="U11" s="86"/>
      <c r="V11" s="45"/>
      <c r="Z11" s="13">
        <f>IF(ISNA(VLOOKUP(S11,Team,4,FALSE)),"",VLOOKUP(S11,Team,4,FALSE))</f>
        <v>60</v>
      </c>
      <c r="AC11" s="20" t="s">
        <v>56</v>
      </c>
      <c r="AK11" s="6" t="str">
        <f t="shared" si="0"/>
        <v/>
      </c>
      <c r="AN11" s="20" t="s">
        <v>40</v>
      </c>
    </row>
    <row r="12" spans="1:40" x14ac:dyDescent="0.25">
      <c r="A12" s="67">
        <v>9</v>
      </c>
      <c r="B12" s="43" t="str">
        <f>IF(Crew!D10=0,"",Crew!D10)</f>
        <v>9 A **</v>
      </c>
      <c r="C12" s="3" t="str">
        <f>IF(ISNA(VLOOKUP(B12,'Master Database'!$C$2:$J$67,2,FALSE)),"",VLOOKUP(B12,'Master Database'!$C$2:$J$67,2,FALSE))</f>
        <v>M</v>
      </c>
      <c r="D12" s="3" t="str">
        <f>IF(ISNA(VLOOKUP(B12,'Master Database'!$C$2:$J$67,3,FALSE)),"",VLOOKUP(B12,'Master Database'!$C$2:$J$67,3,FALSE))</f>
        <v>**</v>
      </c>
      <c r="E12" s="3">
        <f>IF(ISNA(VLOOKUP(B12,'Master Database'!$C$2:$J$67,4,FALSE)),"",VLOOKUP(B12,'Master Database'!$C$2:$J$67,4,FALSE))</f>
        <v>101</v>
      </c>
      <c r="F12" s="40">
        <v>7</v>
      </c>
      <c r="G12" s="40"/>
      <c r="H12" s="40"/>
      <c r="I12" s="40"/>
      <c r="L12" s="24"/>
      <c r="M12" s="24"/>
      <c r="T12" s="12" t="s">
        <v>0</v>
      </c>
      <c r="AC12" s="25">
        <f>(AN13/6.4)*0.05</f>
        <v>0.90688281250000102</v>
      </c>
      <c r="AK12" s="6" t="str">
        <f t="shared" si="0"/>
        <v/>
      </c>
      <c r="AN12" s="20" t="s">
        <v>39</v>
      </c>
    </row>
    <row r="13" spans="1:40" x14ac:dyDescent="0.25">
      <c r="A13" s="67">
        <v>10</v>
      </c>
      <c r="B13" s="43" t="str">
        <f>IF(Crew!D11=0,"",Crew!D11)</f>
        <v>10 A **</v>
      </c>
      <c r="C13" s="3" t="str">
        <f>IF(ISNA(VLOOKUP(B13,'Master Database'!$C$2:$J$67,2,FALSE)),"",VLOOKUP(B13,'Master Database'!$C$2:$J$67,2,FALSE))</f>
        <v>M</v>
      </c>
      <c r="D13" s="3" t="str">
        <f>IF(ISNA(VLOOKUP(B13,'Master Database'!$C$2:$J$67,3,FALSE)),"",VLOOKUP(B13,'Master Database'!$C$2:$J$67,3,FALSE))</f>
        <v>**</v>
      </c>
      <c r="E13" s="3">
        <f>IF(ISNA(VLOOKUP(B13,'Master Database'!$C$2:$J$67,4,FALSE)),"",VLOOKUP(B13,'Master Database'!$C$2:$J$67,4,FALSE))</f>
        <v>92</v>
      </c>
      <c r="F13" s="40"/>
      <c r="G13" s="40">
        <v>8</v>
      </c>
      <c r="H13" s="40"/>
      <c r="I13" s="40"/>
      <c r="L13" s="24"/>
      <c r="M13" s="24"/>
      <c r="T13" s="8" t="s">
        <v>62</v>
      </c>
      <c r="AK13" s="6">
        <f t="shared" si="0"/>
        <v>1</v>
      </c>
      <c r="AN13" s="21">
        <f>(AM9-AN9)</f>
        <v>116.08100000000013</v>
      </c>
    </row>
    <row r="14" spans="1:40" ht="15.75" thickBot="1" x14ac:dyDescent="0.3">
      <c r="A14" s="67">
        <v>11</v>
      </c>
      <c r="B14" s="43" t="str">
        <f>IF(Crew!D12=0,"",Crew!D12)</f>
        <v>11 A *L</v>
      </c>
      <c r="C14" s="3" t="str">
        <f>IF(ISNA(VLOOKUP(B14,'Master Database'!$C$2:$J$67,2,FALSE)),"",VLOOKUP(B14,'Master Database'!$C$2:$J$67,2,FALSE))</f>
        <v>F</v>
      </c>
      <c r="D14" s="3" t="str">
        <f>IF(ISNA(VLOOKUP(B14,'Master Database'!$C$2:$J$67,3,FALSE)),"",VLOOKUP(B14,'Master Database'!$C$2:$J$67,3,FALSE))</f>
        <v>*L</v>
      </c>
      <c r="E14" s="3">
        <f>IF(ISNA(VLOOKUP(B14,'Master Database'!$C$2:$J$67,4,FALSE)),"",VLOOKUP(B14,'Master Database'!$C$2:$J$67,4,FALSE))</f>
        <v>63</v>
      </c>
      <c r="F14" s="40"/>
      <c r="G14" s="40">
        <v>1</v>
      </c>
      <c r="H14" s="40"/>
      <c r="I14" s="40"/>
      <c r="L14" s="24"/>
      <c r="M14" s="24"/>
      <c r="T14" s="8">
        <v>1</v>
      </c>
      <c r="AC14" s="20" t="s">
        <v>55</v>
      </c>
      <c r="AK14" s="6">
        <f t="shared" ref="AK14:AK36" si="1">IF(F14="",1,"")</f>
        <v>1</v>
      </c>
    </row>
    <row r="15" spans="1:40" ht="15.75" thickBot="1" x14ac:dyDescent="0.3">
      <c r="A15" s="67">
        <v>12</v>
      </c>
      <c r="B15" s="43" t="str">
        <f>IF(Crew!D13=0,"",Crew!D13)</f>
        <v>12 A **</v>
      </c>
      <c r="C15" s="3" t="str">
        <f>IF(ISNA(VLOOKUP(B15,'Master Database'!$C$2:$J$67,2,FALSE)),"",VLOOKUP(B15,'Master Database'!$C$2:$J$67,2,FALSE))</f>
        <v>F</v>
      </c>
      <c r="D15" s="3" t="str">
        <f>IF(ISNA(VLOOKUP(B15,'Master Database'!$C$2:$J$67,3,FALSE)),"",VLOOKUP(B15,'Master Database'!$C$2:$J$67,3,FALSE))</f>
        <v>**</v>
      </c>
      <c r="E15" s="3">
        <f>IF(ISNA(VLOOKUP(B15,'Master Database'!$C$2:$J$67,4,FALSE)),"",VLOOKUP(B15,'Master Database'!$C$2:$J$67,4,FALSE))</f>
        <v>61</v>
      </c>
      <c r="F15" s="40">
        <v>5</v>
      </c>
      <c r="G15" s="40"/>
      <c r="H15" s="40"/>
      <c r="I15" s="40"/>
      <c r="K15" s="9" t="str">
        <f>IF(ISNA(VLOOKUP(R15,Team,4,FALSE)),"",VLOOKUP(R15,Team,4,FALSE))</f>
        <v/>
      </c>
      <c r="L15" s="22">
        <f>E59</f>
        <v>0.245</v>
      </c>
      <c r="M15" s="22">
        <f>M17+0.8</f>
        <v>3.2625000000000002</v>
      </c>
      <c r="N15" s="23"/>
      <c r="O15" s="26">
        <f>Q15*L15</f>
        <v>0</v>
      </c>
      <c r="P15" s="26">
        <f>Q15*M15</f>
        <v>0</v>
      </c>
      <c r="Q15" s="23">
        <f>IF(R15="tbd",0,(INDEX(Weight,MATCH(R15,People,0)))*9.8)</f>
        <v>0</v>
      </c>
      <c r="R15" s="27" t="str">
        <f>IFERROR(INDEX(People,MATCH(T14,Left,0)),"tbd")</f>
        <v>tbd</v>
      </c>
      <c r="S15" s="11" t="e">
        <f>VLOOKUP(R15,$B$4:$C$43,2,FALSE)</f>
        <v>#N/A</v>
      </c>
      <c r="T15" s="28" t="s">
        <v>1</v>
      </c>
      <c r="U15" s="11" t="str">
        <f>VLOOKUP(V15,$B$4:$C$43,2,FALSE)</f>
        <v>F</v>
      </c>
      <c r="V15" s="29" t="str">
        <f>IFERROR(INDEX(People,MATCH(T14,Right,0)),"tbd")</f>
        <v>11 A *L</v>
      </c>
      <c r="W15" s="23">
        <f>IF(V15="tbd",0,((INDEX(Weight,MATCH(V15,People,0)))*9.8))</f>
        <v>617.40000000000009</v>
      </c>
      <c r="X15" s="26">
        <f>W15*M15</f>
        <v>2014.2675000000004</v>
      </c>
      <c r="Y15" s="26">
        <f>W15*L15</f>
        <v>151.26300000000003</v>
      </c>
      <c r="Z15" s="13">
        <f>IF(ISNA(VLOOKUP(V15,Team,4,FALSE)),"",VLOOKUP(V15,Team,4,FALSE))</f>
        <v>63</v>
      </c>
      <c r="AC15" s="20"/>
      <c r="AK15" s="6" t="str">
        <f t="shared" si="1"/>
        <v/>
      </c>
    </row>
    <row r="16" spans="1:40" ht="21.75" thickBot="1" x14ac:dyDescent="0.4">
      <c r="A16" s="67">
        <v>13</v>
      </c>
      <c r="B16" s="43" t="str">
        <f>IF(Crew!D14=0,"",Crew!D14)</f>
        <v xml:space="preserve">13 A </v>
      </c>
      <c r="C16" s="3" t="str">
        <f>IF(ISNA(VLOOKUP(B16,'Master Database'!$C$2:$J$67,2,FALSE)),"",VLOOKUP(B16,'Master Database'!$C$2:$J$67,2,FALSE))</f>
        <v>F</v>
      </c>
      <c r="D16" s="3">
        <f>IF(ISNA(VLOOKUP(B16,'Master Database'!$C$2:$J$67,3,FALSE)),"",VLOOKUP(B16,'Master Database'!$C$2:$J$67,3,FALSE))</f>
        <v>0</v>
      </c>
      <c r="E16" s="3">
        <f>IF(ISNA(VLOOKUP(B16,'Master Database'!$C$2:$J$67,4,FALSE)),"",VLOOKUP(B16,'Master Database'!$C$2:$J$67,4,FALSE))</f>
        <v>60</v>
      </c>
      <c r="F16" s="40">
        <v>10</v>
      </c>
      <c r="G16" s="40"/>
      <c r="H16" s="40"/>
      <c r="I16" s="40"/>
      <c r="L16" s="22"/>
      <c r="M16" s="22"/>
      <c r="N16" s="30"/>
      <c r="O16" s="26"/>
      <c r="P16" s="26"/>
      <c r="Q16" s="30"/>
      <c r="T16" s="44">
        <v>2</v>
      </c>
      <c r="W16" s="30"/>
      <c r="X16" s="26"/>
      <c r="Y16" s="26"/>
      <c r="AC16" s="31" t="str">
        <f>ROUND(ABS(D101-E101),0)&amp;"mm"</f>
        <v>18mm</v>
      </c>
      <c r="AK16" s="6" t="str">
        <f t="shared" si="1"/>
        <v/>
      </c>
    </row>
    <row r="17" spans="1:43" ht="15.75" thickBot="1" x14ac:dyDescent="0.3">
      <c r="A17" s="67">
        <v>14</v>
      </c>
      <c r="B17" s="43" t="str">
        <f>IF(Crew!D15=0,"",Crew!D15)</f>
        <v xml:space="preserve">14 A </v>
      </c>
      <c r="C17" s="3" t="str">
        <f>IF(ISNA(VLOOKUP(B17,'Master Database'!$C$2:$J$67,2,FALSE)),"",VLOOKUP(B17,'Master Database'!$C$2:$J$67,2,FALSE))</f>
        <v>M</v>
      </c>
      <c r="D17" s="3">
        <f>IF(ISNA(VLOOKUP(B17,'Master Database'!$C$2:$J$67,3,FALSE)),"",VLOOKUP(B17,'Master Database'!$C$2:$J$67,3,FALSE))</f>
        <v>0</v>
      </c>
      <c r="E17" s="3">
        <f>IF(ISNA(VLOOKUP(B17,'Master Database'!$C$2:$J$67,4,FALSE)),"",VLOOKUP(B17,'Master Database'!$C$2:$J$67,4,FALSE))</f>
        <v>56</v>
      </c>
      <c r="F17" s="40"/>
      <c r="G17" s="40">
        <v>9</v>
      </c>
      <c r="H17" s="40"/>
      <c r="I17" s="40"/>
      <c r="K17" s="9">
        <f>IF(ISNA(VLOOKUP(R17,Team,4,FALSE)),"",VLOOKUP(R17,Team,4,FALSE))</f>
        <v>77</v>
      </c>
      <c r="L17" s="22">
        <f>E58</f>
        <v>0.28499999999999998</v>
      </c>
      <c r="M17" s="22">
        <f>M19+0.8</f>
        <v>2.4625000000000004</v>
      </c>
      <c r="N17" s="23"/>
      <c r="O17" s="26">
        <f>Q17*L17</f>
        <v>215.06099999999998</v>
      </c>
      <c r="P17" s="26">
        <f>Q17*M17</f>
        <v>1858.2025000000003</v>
      </c>
      <c r="Q17" s="23">
        <f>IF(R17="tbd",0,(INDEX(Weight,MATCH(R17,People,0)))*9.8)</f>
        <v>754.6</v>
      </c>
      <c r="R17" s="27" t="str">
        <f>IFERROR(INDEX(People,MATCH(T16,Left,0)),"tbd")</f>
        <v>3 A **</v>
      </c>
      <c r="S17" s="11" t="str">
        <f>VLOOKUP(R17,$B$4:$C$43,2,FALSE)</f>
        <v>M</v>
      </c>
      <c r="T17" s="28" t="s">
        <v>2</v>
      </c>
      <c r="U17" s="11" t="e">
        <f>VLOOKUP(V17,$B$4:$C$43,2,FALSE)</f>
        <v>#N/A</v>
      </c>
      <c r="V17" s="29" t="str">
        <f>IFERROR(INDEX(People,MATCH(T16,Right,0)),"tbd")</f>
        <v>tbd</v>
      </c>
      <c r="W17" s="23">
        <f>IF(V17="tbd",0,((INDEX(Weight,MATCH(V17,People,0)))*9.8))</f>
        <v>0</v>
      </c>
      <c r="X17" s="26">
        <f>W17*M17</f>
        <v>0</v>
      </c>
      <c r="Y17" s="26">
        <f>W17*L17</f>
        <v>0</v>
      </c>
      <c r="Z17" s="13" t="str">
        <f>IF(ISNA(VLOOKUP(V17,Team,4,FALSE)),"",VLOOKUP(V17,Team,4,FALSE))</f>
        <v/>
      </c>
      <c r="AK17" s="6">
        <f t="shared" si="1"/>
        <v>1</v>
      </c>
    </row>
    <row r="18" spans="1:43" ht="15.75" thickBot="1" x14ac:dyDescent="0.3">
      <c r="A18" s="67">
        <v>15</v>
      </c>
      <c r="B18" s="43" t="str">
        <f>IF(Crew!D16=0,"",Crew!D16)</f>
        <v>15 A *L</v>
      </c>
      <c r="C18" s="3" t="str">
        <f>IF(ISNA(VLOOKUP(B18,'Master Database'!$C$2:$J$67,2,FALSE)),"",VLOOKUP(B18,'Master Database'!$C$2:$J$67,2,FALSE))</f>
        <v>F</v>
      </c>
      <c r="D18" s="3" t="str">
        <f>IF(ISNA(VLOOKUP(B18,'Master Database'!$C$2:$J$67,3,FALSE)),"",VLOOKUP(B18,'Master Database'!$C$2:$J$67,3,FALSE))</f>
        <v>*L</v>
      </c>
      <c r="E18" s="3">
        <f>IF(ISNA(VLOOKUP(B18,'Master Database'!$C$2:$J$67,4,FALSE)),"",VLOOKUP(B18,'Master Database'!$C$2:$J$67,4,FALSE))</f>
        <v>73</v>
      </c>
      <c r="F18" s="40"/>
      <c r="G18" s="40"/>
      <c r="H18" s="40"/>
      <c r="I18" s="40" t="s">
        <v>62</v>
      </c>
      <c r="L18" s="22"/>
      <c r="M18" s="22"/>
      <c r="N18" s="30"/>
      <c r="O18" s="26"/>
      <c r="P18" s="26"/>
      <c r="Q18" s="30"/>
      <c r="T18" s="44">
        <v>3</v>
      </c>
      <c r="W18" s="30"/>
      <c r="X18" s="26"/>
      <c r="Y18" s="26"/>
      <c r="AK18" s="6">
        <f t="shared" si="1"/>
        <v>1</v>
      </c>
    </row>
    <row r="19" spans="1:43" ht="15.75" thickBot="1" x14ac:dyDescent="0.3">
      <c r="A19" s="67">
        <v>16</v>
      </c>
      <c r="B19" s="43" t="str">
        <f>IF(Crew!D17=0,"",Crew!D17)</f>
        <v>16 A **</v>
      </c>
      <c r="C19" s="3" t="str">
        <f>IF(ISNA(VLOOKUP(B19,'Master Database'!$C$2:$J$67,2,FALSE)),"",VLOOKUP(B19,'Master Database'!$C$2:$J$67,2,FALSE))</f>
        <v>F</v>
      </c>
      <c r="D19" s="3" t="str">
        <f>IF(ISNA(VLOOKUP(B19,'Master Database'!$C$2:$J$67,3,FALSE)),"",VLOOKUP(B19,'Master Database'!$C$2:$J$67,3,FALSE))</f>
        <v>**</v>
      </c>
      <c r="E19" s="3">
        <f>IF(ISNA(VLOOKUP(B19,'Master Database'!$C$2:$J$67,4,FALSE)),"",VLOOKUP(B19,'Master Database'!$C$2:$J$67,4,FALSE))</f>
        <v>60</v>
      </c>
      <c r="F19" s="40"/>
      <c r="G19" s="40"/>
      <c r="H19" s="40" t="s">
        <v>62</v>
      </c>
      <c r="I19" s="40"/>
      <c r="K19" s="9">
        <f>IF(ISNA(VLOOKUP(R19,Team,4,FALSE)),"",VLOOKUP(R19,Team,4,FALSE))</f>
        <v>97</v>
      </c>
      <c r="L19" s="22">
        <f>E57</f>
        <v>0.33</v>
      </c>
      <c r="M19" s="22">
        <f>M21+0.8</f>
        <v>1.6625000000000001</v>
      </c>
      <c r="N19" s="23"/>
      <c r="O19" s="26">
        <f>Q19*L19</f>
        <v>313.69800000000004</v>
      </c>
      <c r="P19" s="26">
        <f>Q19*M19</f>
        <v>1580.3725000000002</v>
      </c>
      <c r="Q19" s="23">
        <f>IF(R19="tbd",0,(INDEX(Weight,MATCH(R19,People,0)))*9.8)</f>
        <v>950.6</v>
      </c>
      <c r="R19" s="27" t="str">
        <f>IFERROR(INDEX(People,MATCH(T18,Left,0)),"tbd")</f>
        <v>2 A **</v>
      </c>
      <c r="S19" s="11" t="str">
        <f>VLOOKUP(R19,$B$4:$C$43,2,FALSE)</f>
        <v>M</v>
      </c>
      <c r="T19" s="28" t="s">
        <v>3</v>
      </c>
      <c r="U19" s="11" t="str">
        <f>VLOOKUP(V19,$B$4:$C$43,2,FALSE)</f>
        <v>M</v>
      </c>
      <c r="V19" s="29" t="str">
        <f>IFERROR(INDEX(People,MATCH(T18,Right,0)),"tbd")</f>
        <v>4 A</v>
      </c>
      <c r="W19" s="23">
        <f>IF(V19="tbd",0,((INDEX(Weight,MATCH(V19,People,0)))*9.8))</f>
        <v>931.00000000000011</v>
      </c>
      <c r="X19" s="26">
        <f>W19*M19</f>
        <v>1547.7875000000004</v>
      </c>
      <c r="Y19" s="26">
        <f>W19*L19</f>
        <v>307.23000000000008</v>
      </c>
      <c r="Z19" s="13">
        <f>IF(ISNA(VLOOKUP(V19,Team,4,FALSE)),"",VLOOKUP(V19,Team,4,FALSE))</f>
        <v>95</v>
      </c>
      <c r="AK19" s="6">
        <f t="shared" si="1"/>
        <v>1</v>
      </c>
    </row>
    <row r="20" spans="1:43" ht="15.75" thickBot="1" x14ac:dyDescent="0.3">
      <c r="A20" s="67">
        <v>17</v>
      </c>
      <c r="B20" s="43" t="str">
        <f>IF(Crew!D18=0,"",Crew!D18)</f>
        <v>17 A **</v>
      </c>
      <c r="C20" s="3" t="str">
        <f>IF(ISNA(VLOOKUP(B20,'Master Database'!$C$2:$J$67,2,FALSE)),"",VLOOKUP(B20,'Master Database'!$C$2:$J$67,2,FALSE))</f>
        <v>F</v>
      </c>
      <c r="D20" s="3" t="str">
        <f>IF(ISNA(VLOOKUP(B20,'Master Database'!$C$2:$J$67,3,FALSE)),"",VLOOKUP(B20,'Master Database'!$C$2:$J$67,3,FALSE))</f>
        <v>**</v>
      </c>
      <c r="E20" s="3">
        <f>IF(ISNA(VLOOKUP(B20,'Master Database'!$C$2:$J$67,4,FALSE)),"",VLOOKUP(B20,'Master Database'!$C$2:$J$67,4,FALSE))</f>
        <v>63</v>
      </c>
      <c r="F20" s="40"/>
      <c r="G20" s="40"/>
      <c r="H20" s="40"/>
      <c r="I20" s="40"/>
      <c r="L20" s="22"/>
      <c r="M20" s="22"/>
      <c r="N20" s="30"/>
      <c r="O20" s="26"/>
      <c r="P20" s="26"/>
      <c r="Q20" s="30"/>
      <c r="T20" s="44">
        <v>4</v>
      </c>
      <c r="W20" s="30"/>
      <c r="X20" s="26"/>
      <c r="Y20" s="26"/>
      <c r="AK20" s="6">
        <f t="shared" si="1"/>
        <v>1</v>
      </c>
    </row>
    <row r="21" spans="1:43" ht="18" customHeight="1" thickBot="1" x14ac:dyDescent="0.3">
      <c r="A21" s="67">
        <v>18</v>
      </c>
      <c r="B21" s="43" t="str">
        <f>IF(Crew!D19=0,"",Crew!D19)</f>
        <v>18 A</v>
      </c>
      <c r="C21" s="3" t="str">
        <f>IF(ISNA(VLOOKUP(B21,'Master Database'!$C$2:$J$67,2,FALSE)),"",VLOOKUP(B21,'Master Database'!$C$2:$J$67,2,FALSE))</f>
        <v>F</v>
      </c>
      <c r="D21" s="3" t="str">
        <f>IF(ISNA(VLOOKUP(B21,'Master Database'!$C$2:$J$67,3,FALSE)),"",VLOOKUP(B21,'Master Database'!$C$2:$J$67,3,FALSE))</f>
        <v>RR</v>
      </c>
      <c r="E21" s="3">
        <f>IF(ISNA(VLOOKUP(B21,'Master Database'!$C$2:$J$67,4,FALSE)),"",VLOOKUP(B21,'Master Database'!$C$2:$J$67,4,FALSE))</f>
        <v>61</v>
      </c>
      <c r="F21" s="40"/>
      <c r="G21" s="40"/>
      <c r="H21" s="40"/>
      <c r="I21" s="40"/>
      <c r="K21" s="9">
        <f>IF(ISNA(VLOOKUP(R21,Team,4,FALSE)),"",VLOOKUP(R21,Team,4,FALSE))</f>
        <v>73</v>
      </c>
      <c r="L21" s="22">
        <f>E56</f>
        <v>0.35500000000000004</v>
      </c>
      <c r="M21" s="22">
        <f>M23+0.8</f>
        <v>0.86250000000000004</v>
      </c>
      <c r="N21" s="23"/>
      <c r="O21" s="26">
        <f>Q21*L21</f>
        <v>253.96700000000007</v>
      </c>
      <c r="P21" s="26">
        <f>Q21*M21</f>
        <v>617.03250000000014</v>
      </c>
      <c r="Q21" s="23">
        <f>IF(R21="tbd",0,(INDEX(Weight,MATCH(R21,People,0)))*9.8)</f>
        <v>715.40000000000009</v>
      </c>
      <c r="R21" s="27" t="str">
        <f>IFERROR(INDEX(People,MATCH(T20,Left,0)),"tbd")</f>
        <v>1 A *R</v>
      </c>
      <c r="S21" s="11" t="str">
        <f>VLOOKUP(R21,$B$4:$C$43,2,FALSE)</f>
        <v>M</v>
      </c>
      <c r="T21" s="28" t="s">
        <v>4</v>
      </c>
      <c r="U21" s="11" t="str">
        <f>VLOOKUP(V21,$B$4:$C$43,2,FALSE)</f>
        <v>M</v>
      </c>
      <c r="V21" s="29" t="str">
        <f>IFERROR(INDEX(People,MATCH(T20,Right,0)),"tbd")</f>
        <v>7 A **</v>
      </c>
      <c r="W21" s="23">
        <f>IF(V21="tbd",0,((INDEX(Weight,MATCH(V21,People,0)))*9.8))</f>
        <v>931.00000000000011</v>
      </c>
      <c r="X21" s="26">
        <f>W21*M21</f>
        <v>802.98750000000018</v>
      </c>
      <c r="Y21" s="26">
        <f>W21*L21</f>
        <v>330.50500000000005</v>
      </c>
      <c r="Z21" s="13">
        <f>IF(ISNA(VLOOKUP(V21,Team,4,FALSE)),"",VLOOKUP(V21,Team,4,FALSE))</f>
        <v>95</v>
      </c>
      <c r="AK21" s="6">
        <f t="shared" si="1"/>
        <v>1</v>
      </c>
    </row>
    <row r="22" spans="1:43" ht="15.75" thickBot="1" x14ac:dyDescent="0.3">
      <c r="A22" s="67">
        <v>19</v>
      </c>
      <c r="B22" s="43" t="str">
        <f>IF(Crew!D20=0,"",Crew!D20)</f>
        <v>19 A **</v>
      </c>
      <c r="C22" s="3" t="str">
        <f>IF(ISNA(VLOOKUP(B22,'Master Database'!$C$2:$J$67,2,FALSE)),"",VLOOKUP(B22,'Master Database'!$C$2:$J$67,2,FALSE))</f>
        <v>M</v>
      </c>
      <c r="D22" s="3" t="str">
        <f>IF(ISNA(VLOOKUP(B22,'Master Database'!$C$2:$J$67,3,FALSE)),"",VLOOKUP(B22,'Master Database'!$C$2:$J$67,3,FALSE))</f>
        <v>**</v>
      </c>
      <c r="E22" s="3">
        <f>IF(ISNA(VLOOKUP(B22,'Master Database'!$C$2:$J$67,4,FALSE)),"",VLOOKUP(B22,'Master Database'!$C$2:$J$67,4,FALSE))</f>
        <v>80</v>
      </c>
      <c r="F22" s="40"/>
      <c r="G22" s="40"/>
      <c r="H22" s="40"/>
      <c r="I22" s="40"/>
      <c r="L22" s="22"/>
      <c r="M22" s="22"/>
      <c r="N22" s="30"/>
      <c r="O22" s="26"/>
      <c r="P22" s="26"/>
      <c r="Q22" s="30"/>
      <c r="T22" s="44">
        <v>5</v>
      </c>
      <c r="W22" s="30"/>
      <c r="X22" s="26"/>
      <c r="Y22" s="26"/>
      <c r="AK22" s="6">
        <f t="shared" si="1"/>
        <v>1</v>
      </c>
      <c r="AP22" s="50" t="s">
        <v>90</v>
      </c>
      <c r="AQ22" s="50" t="s">
        <v>91</v>
      </c>
    </row>
    <row r="23" spans="1:43" ht="15.75" thickBot="1" x14ac:dyDescent="0.3">
      <c r="A23" s="67">
        <v>20</v>
      </c>
      <c r="B23" s="43" t="str">
        <f>IF(Crew!D21=0,"",Crew!D21)</f>
        <v/>
      </c>
      <c r="C23" s="3" t="str">
        <f>IF(ISNA(VLOOKUP(B23,'Master Database'!$C$2:$J$67,2,FALSE)),"",VLOOKUP(B23,'Master Database'!$C$2:$J$67,2,FALSE))</f>
        <v/>
      </c>
      <c r="D23" s="3" t="str">
        <f>IF(ISNA(VLOOKUP(B23,'Master Database'!$C$2:$J$67,3,FALSE)),"",VLOOKUP(B23,'Master Database'!$C$2:$J$67,3,FALSE))</f>
        <v/>
      </c>
      <c r="E23" s="3" t="str">
        <f>IF(ISNA(VLOOKUP(B23,'Master Database'!$C$2:$J$67,4,FALSE)),"",VLOOKUP(B23,'Master Database'!$C$2:$J$67,4,FALSE))</f>
        <v/>
      </c>
      <c r="F23" s="40"/>
      <c r="G23" s="40"/>
      <c r="H23" s="40"/>
      <c r="I23" s="40"/>
      <c r="K23" s="9">
        <f>IF(ISNA(VLOOKUP(R23,Team,4,FALSE)),"",VLOOKUP(R23,Team,4,FALSE))</f>
        <v>61</v>
      </c>
      <c r="L23" s="22">
        <f>E55</f>
        <v>0.37499999999999994</v>
      </c>
      <c r="M23" s="22">
        <f>0.125/2</f>
        <v>6.25E-2</v>
      </c>
      <c r="N23" s="23"/>
      <c r="O23" s="26">
        <f>Q23*L23</f>
        <v>224.17499999999998</v>
      </c>
      <c r="P23" s="26">
        <f>Q23*M23</f>
        <v>37.362500000000004</v>
      </c>
      <c r="Q23" s="23">
        <f>IF(R23="tbd",0,(INDEX(Weight,MATCH(R23,People,0)))*9.8)</f>
        <v>597.80000000000007</v>
      </c>
      <c r="R23" s="27" t="str">
        <f>IFERROR(INDEX(People,MATCH(T22,Left,0)),"tbd")</f>
        <v>12 A **</v>
      </c>
      <c r="S23" s="11" t="str">
        <f>VLOOKUP(R23,$B$4:$C$43,2,FALSE)</f>
        <v>F</v>
      </c>
      <c r="T23" s="28" t="s">
        <v>20</v>
      </c>
      <c r="U23" s="11" t="str">
        <f>VLOOKUP(V23,$B$4:$C$43,2,FALSE)</f>
        <v>M</v>
      </c>
      <c r="V23" s="29" t="str">
        <f>IFERROR(INDEX(People,MATCH(T22,Right,0)),"tbd")</f>
        <v>5 A **</v>
      </c>
      <c r="W23" s="23">
        <f>IF(V23="tbd",0,((INDEX(Weight,MATCH(V23,People,0)))*9.8))</f>
        <v>784</v>
      </c>
      <c r="X23" s="26">
        <f>W23*M23</f>
        <v>49</v>
      </c>
      <c r="Y23" s="26">
        <f>W23*L23</f>
        <v>293.99999999999994</v>
      </c>
      <c r="Z23" s="13">
        <f>IF(ISNA(VLOOKUP(V23,Team,4,FALSE)),"",VLOOKUP(V23,Team,4,FALSE))</f>
        <v>80</v>
      </c>
      <c r="AK23" s="6">
        <f t="shared" si="1"/>
        <v>1</v>
      </c>
      <c r="AP23" s="21">
        <f>-ROUND(ABS(D101-E101),0)</f>
        <v>-18</v>
      </c>
      <c r="AQ23" s="21">
        <f>ROUND(ABS(D107-E107),0)</f>
        <v>6</v>
      </c>
    </row>
    <row r="24" spans="1:43" ht="15.75" thickBot="1" x14ac:dyDescent="0.3">
      <c r="A24" s="67">
        <v>21</v>
      </c>
      <c r="B24" s="43" t="str">
        <f>IF(Crew!D22=0,"",Crew!D22)</f>
        <v/>
      </c>
      <c r="C24" s="3" t="str">
        <f>IF(ISNA(VLOOKUP(B24,'Master Database'!$C$2:$J$67,2,FALSE)),"",VLOOKUP(B24,'Master Database'!$C$2:$J$67,2,FALSE))</f>
        <v/>
      </c>
      <c r="D24" s="3" t="str">
        <f>IF(ISNA(VLOOKUP(B24,'Master Database'!$C$2:$J$67,3,FALSE)),"",VLOOKUP(B24,'Master Database'!$C$2:$J$67,3,FALSE))</f>
        <v/>
      </c>
      <c r="E24" s="3" t="str">
        <f>IF(ISNA(VLOOKUP(B24,'Master Database'!$C$2:$J$67,4,FALSE)),"",VLOOKUP(B24,'Master Database'!$C$2:$J$67,4,FALSE))</f>
        <v/>
      </c>
      <c r="F24" s="40"/>
      <c r="G24" s="40"/>
      <c r="H24" s="40"/>
      <c r="I24" s="40"/>
      <c r="L24" s="22"/>
      <c r="M24" s="30"/>
      <c r="N24" s="30"/>
      <c r="O24" s="26"/>
      <c r="P24" s="26"/>
      <c r="Q24" s="30"/>
      <c r="T24" s="44">
        <v>6</v>
      </c>
      <c r="W24" s="30"/>
      <c r="X24" s="26"/>
      <c r="Y24" s="26"/>
      <c r="AK24" s="6">
        <f t="shared" si="1"/>
        <v>1</v>
      </c>
    </row>
    <row r="25" spans="1:43" ht="15.75" thickBot="1" x14ac:dyDescent="0.3">
      <c r="A25" s="67">
        <v>22</v>
      </c>
      <c r="B25" s="43" t="str">
        <f>IF(Crew!D23=0,"",Crew!D23)</f>
        <v/>
      </c>
      <c r="C25" s="3" t="str">
        <f>IF(ISNA(VLOOKUP(B25,'Master Database'!$C$2:$J$67,2,FALSE)),"",VLOOKUP(B25,'Master Database'!$C$2:$J$67,2,FALSE))</f>
        <v/>
      </c>
      <c r="D25" s="3" t="str">
        <f>IF(ISNA(VLOOKUP(B25,'Master Database'!$C$2:$J$67,3,FALSE)),"",VLOOKUP(B25,'Master Database'!$C$2:$J$67,3,FALSE))</f>
        <v/>
      </c>
      <c r="E25" s="3" t="str">
        <f>IF(ISNA(VLOOKUP(B25,'Master Database'!$C$2:$J$67,4,FALSE)),"",VLOOKUP(B25,'Master Database'!$C$2:$J$67,4,FALSE))</f>
        <v/>
      </c>
      <c r="F25" s="40"/>
      <c r="G25" s="40"/>
      <c r="H25" s="40"/>
      <c r="I25" s="40"/>
      <c r="K25" s="9">
        <f>IF(ISNA(VLOOKUP(R25,Team,4,FALSE)),"",VLOOKUP(R25,Team,4,FALSE))</f>
        <v>95</v>
      </c>
      <c r="L25" s="22">
        <f>E55</f>
        <v>0.37499999999999994</v>
      </c>
      <c r="M25" s="22">
        <f>0.8-M23</f>
        <v>0.73750000000000004</v>
      </c>
      <c r="N25" s="23"/>
      <c r="O25" s="26">
        <f>Q25*L25</f>
        <v>349.125</v>
      </c>
      <c r="P25" s="26">
        <f>Q25*M25</f>
        <v>686.61250000000018</v>
      </c>
      <c r="Q25" s="23">
        <f>IF(R25="tbd",0,(INDEX(Weight,MATCH(R25,People,0)))*9.8)</f>
        <v>931.00000000000011</v>
      </c>
      <c r="R25" s="27" t="str">
        <f>IFERROR(INDEX(People,MATCH(T24,Left,0)),"tbd")</f>
        <v>8 A</v>
      </c>
      <c r="S25" s="11" t="str">
        <f>VLOOKUP(R25,$B$4:$C$43,2,FALSE)</f>
        <v>M</v>
      </c>
      <c r="T25" s="28" t="s">
        <v>5</v>
      </c>
      <c r="U25" s="11" t="str">
        <f>VLOOKUP(V25,$B$4:$C$43,2,FALSE)</f>
        <v>M</v>
      </c>
      <c r="V25" s="29" t="str">
        <f>IFERROR(INDEX(People,MATCH(T24,Right,0)),"tbd")</f>
        <v>6 A **</v>
      </c>
      <c r="W25" s="23">
        <f>IF(V25="tbd",0,((INDEX(Weight,MATCH(V25,People,0)))*9.8))</f>
        <v>529.20000000000005</v>
      </c>
      <c r="X25" s="26">
        <f>W25*M25</f>
        <v>390.28500000000008</v>
      </c>
      <c r="Y25" s="26">
        <f>W25*L25</f>
        <v>198.45</v>
      </c>
      <c r="Z25" s="13">
        <f>IF(ISNA(VLOOKUP(V25,Team,4,FALSE)),"",VLOOKUP(V25,Team,4,FALSE))</f>
        <v>54</v>
      </c>
      <c r="AK25" s="6">
        <f t="shared" si="1"/>
        <v>1</v>
      </c>
    </row>
    <row r="26" spans="1:43" ht="15.75" thickBot="1" x14ac:dyDescent="0.3">
      <c r="A26" s="67">
        <v>23</v>
      </c>
      <c r="B26" s="43" t="str">
        <f>IF(Crew!D24=0,"",Crew!D24)</f>
        <v/>
      </c>
      <c r="C26" s="3" t="str">
        <f>IF(ISNA(VLOOKUP(B26,'Master Database'!$C$2:$J$67,2,FALSE)),"",VLOOKUP(B26,'Master Database'!$C$2:$J$67,2,FALSE))</f>
        <v/>
      </c>
      <c r="D26" s="3" t="str">
        <f>IF(ISNA(VLOOKUP(B26,'Master Database'!$C$2:$J$67,3,FALSE)),"",VLOOKUP(B26,'Master Database'!$C$2:$J$67,3,FALSE))</f>
        <v/>
      </c>
      <c r="E26" s="3" t="str">
        <f>IF(ISNA(VLOOKUP(B26,'Master Database'!$C$2:$J$67,4,FALSE)),"",VLOOKUP(B26,'Master Database'!$C$2:$J$67,4,FALSE))</f>
        <v/>
      </c>
      <c r="F26" s="40"/>
      <c r="G26" s="40"/>
      <c r="H26" s="40"/>
      <c r="I26" s="40"/>
      <c r="L26" s="22"/>
      <c r="M26" s="22"/>
      <c r="N26" s="30"/>
      <c r="O26" s="26"/>
      <c r="P26" s="26"/>
      <c r="Q26" s="30"/>
      <c r="T26" s="44">
        <v>7</v>
      </c>
      <c r="W26" s="30"/>
      <c r="X26" s="26"/>
      <c r="Y26" s="26"/>
      <c r="AB26" s="20" t="s">
        <v>26</v>
      </c>
      <c r="AC26" s="20" t="s">
        <v>25</v>
      </c>
      <c r="AK26" s="6">
        <f t="shared" si="1"/>
        <v>1</v>
      </c>
    </row>
    <row r="27" spans="1:43" ht="15.75" thickBot="1" x14ac:dyDescent="0.3">
      <c r="A27" s="67">
        <v>24</v>
      </c>
      <c r="B27" s="43" t="str">
        <f>IF(Crew!D25=0,"",Crew!D25)</f>
        <v/>
      </c>
      <c r="C27" s="3" t="str">
        <f>IF(ISNA(VLOOKUP(B27,'Master Database'!$C$2:$J$67,2,FALSE)),"",VLOOKUP(B27,'Master Database'!$C$2:$J$67,2,FALSE))</f>
        <v/>
      </c>
      <c r="D27" s="3" t="str">
        <f>IF(ISNA(VLOOKUP(B27,'Master Database'!$C$2:$J$67,3,FALSE)),"",VLOOKUP(B27,'Master Database'!$C$2:$J$67,3,FALSE))</f>
        <v/>
      </c>
      <c r="E27" s="3" t="str">
        <f>IF(ISNA(VLOOKUP(B27,'Master Database'!$C$2:$J$67,4,FALSE)),"",VLOOKUP(B27,'Master Database'!$C$2:$J$67,4,FALSE))</f>
        <v/>
      </c>
      <c r="F27" s="40"/>
      <c r="G27" s="40"/>
      <c r="H27" s="40"/>
      <c r="I27" s="40"/>
      <c r="K27" s="9">
        <f>IF(ISNA(VLOOKUP(R27,Team,4,FALSE)),"",VLOOKUP(R27,Team,4,FALSE))</f>
        <v>101</v>
      </c>
      <c r="L27" s="22">
        <f>E56</f>
        <v>0.35500000000000004</v>
      </c>
      <c r="M27" s="22">
        <f>M25+0.8</f>
        <v>1.5375000000000001</v>
      </c>
      <c r="N27" s="23"/>
      <c r="O27" s="26">
        <f>Q27*L27</f>
        <v>351.37900000000008</v>
      </c>
      <c r="P27" s="26">
        <f>Q27*M27</f>
        <v>1521.8175000000001</v>
      </c>
      <c r="Q27" s="23">
        <f>IF(R27="tbd",0,(INDEX(Weight,MATCH(R27,People,0)))*9.8)</f>
        <v>989.80000000000007</v>
      </c>
      <c r="R27" s="27" t="str">
        <f>IFERROR(INDEX(People,MATCH(T26,Left,0)),"tbd")</f>
        <v>9 A **</v>
      </c>
      <c r="S27" s="11" t="str">
        <f>VLOOKUP(R27,$B$4:$C$43,2,FALSE)</f>
        <v>M</v>
      </c>
      <c r="T27" s="28" t="s">
        <v>6</v>
      </c>
      <c r="U27" s="11" t="e">
        <f>VLOOKUP(V27,$B$4:$C$43,2,FALSE)</f>
        <v>#N/A</v>
      </c>
      <c r="V27" s="29" t="str">
        <f>IFERROR(INDEX(People,MATCH(T26,Right,0)),"tbd")</f>
        <v>tbd</v>
      </c>
      <c r="W27" s="23">
        <f>IF(V27="tbd",0,((INDEX(Weight,MATCH(V27,People,0)))*9.8))</f>
        <v>0</v>
      </c>
      <c r="X27" s="26">
        <f>W27*M27</f>
        <v>0</v>
      </c>
      <c r="Y27" s="26">
        <f>W27*L27</f>
        <v>0</v>
      </c>
      <c r="Z27" s="13" t="str">
        <f>IF(ISNA(VLOOKUP(V27,Team,4,FALSE)),"",VLOOKUP(V27,Team,4,FALSE))</f>
        <v/>
      </c>
      <c r="AB27" s="20" t="s">
        <v>39</v>
      </c>
      <c r="AC27" s="20" t="s">
        <v>39</v>
      </c>
      <c r="AK27" s="6">
        <f t="shared" si="1"/>
        <v>1</v>
      </c>
    </row>
    <row r="28" spans="1:43" ht="15.75" thickBot="1" x14ac:dyDescent="0.3">
      <c r="A28" s="67">
        <v>25</v>
      </c>
      <c r="B28" s="43" t="str">
        <f>IF(Crew!D26=0,"",Crew!D26)</f>
        <v/>
      </c>
      <c r="C28" s="3" t="str">
        <f>IF(ISNA(VLOOKUP(B28,'Master Database'!$C$2:$J$67,2,FALSE)),"",VLOOKUP(B28,'Master Database'!$C$2:$J$67,2,FALSE))</f>
        <v/>
      </c>
      <c r="D28" s="3" t="str">
        <f>IF(ISNA(VLOOKUP(B28,'Master Database'!$C$2:$J$67,3,FALSE)),"",VLOOKUP(B28,'Master Database'!$C$2:$J$67,3,FALSE))</f>
        <v/>
      </c>
      <c r="E28" s="3" t="str">
        <f>IF(ISNA(VLOOKUP(B28,'Master Database'!$C$2:$J$67,4,FALSE)),"",VLOOKUP(B28,'Master Database'!$C$2:$J$67,4,FALSE))</f>
        <v/>
      </c>
      <c r="F28" s="40"/>
      <c r="G28" s="40"/>
      <c r="H28" s="40"/>
      <c r="I28" s="40"/>
      <c r="L28" s="22"/>
      <c r="M28" s="22"/>
      <c r="N28" s="30"/>
      <c r="O28" s="26"/>
      <c r="P28" s="26"/>
      <c r="Q28" s="30"/>
      <c r="T28" s="44">
        <v>8</v>
      </c>
      <c r="W28" s="30"/>
      <c r="X28" s="26"/>
      <c r="Y28" s="26"/>
      <c r="AB28" s="21">
        <f>E91</f>
        <v>11712.225000000002</v>
      </c>
      <c r="AC28" s="21">
        <f>D91</f>
        <v>11408.792500000003</v>
      </c>
      <c r="AK28" s="6">
        <f t="shared" si="1"/>
        <v>1</v>
      </c>
    </row>
    <row r="29" spans="1:43" ht="15.75" thickBot="1" x14ac:dyDescent="0.3">
      <c r="A29" s="67">
        <v>26</v>
      </c>
      <c r="B29" s="57" t="str">
        <f>IF(Crew!D27=0,"",Crew!D27)</f>
        <v/>
      </c>
      <c r="C29" s="58" t="str">
        <f>IF(ISNA(VLOOKUP(B29,'Master Database'!$C$2:$J$67,2,FALSE)),"",VLOOKUP(B29,'Master Database'!$C$2:$J$67,2,FALSE))</f>
        <v/>
      </c>
      <c r="D29" s="58" t="str">
        <f>IF(ISNA(VLOOKUP(B29,'Master Database'!$C$2:$J$67,3,FALSE)),"",VLOOKUP(B29,'Master Database'!$C$2:$J$67,3,FALSE))</f>
        <v/>
      </c>
      <c r="E29" s="58" t="str">
        <f>IF(ISNA(VLOOKUP(B29,'Master Database'!$C$2:$J$67,4,FALSE)),"",VLOOKUP(B29,'Master Database'!$C$2:$J$67,4,FALSE))</f>
        <v/>
      </c>
      <c r="F29" s="59"/>
      <c r="G29" s="59"/>
      <c r="H29" s="59"/>
      <c r="I29" s="59"/>
      <c r="K29" s="9" t="str">
        <f>IF(ISNA(VLOOKUP(R29,Team,4,FALSE)),"",VLOOKUP(R29,Team,4,FALSE))</f>
        <v/>
      </c>
      <c r="L29" s="22">
        <f>E57</f>
        <v>0.33</v>
      </c>
      <c r="M29" s="22">
        <f>M27+0.8</f>
        <v>2.3375000000000004</v>
      </c>
      <c r="N29" s="23"/>
      <c r="O29" s="26">
        <f>Q29*L29</f>
        <v>0</v>
      </c>
      <c r="P29" s="26">
        <f>Q29*M29</f>
        <v>0</v>
      </c>
      <c r="Q29" s="23">
        <f>IF(R29="tbd",0,(INDEX(Weight,MATCH(R29,People,0)))*9.8)</f>
        <v>0</v>
      </c>
      <c r="R29" s="27" t="str">
        <f>IFERROR(INDEX(People,MATCH(T28,Left,0)),"tbd")</f>
        <v>tbd</v>
      </c>
      <c r="S29" s="11" t="e">
        <f>VLOOKUP(R29,$B$4:$C$43,2,FALSE)</f>
        <v>#N/A</v>
      </c>
      <c r="T29" s="28" t="s">
        <v>7</v>
      </c>
      <c r="U29" s="11" t="str">
        <f>VLOOKUP(V29,$B$4:$C$43,2,FALSE)</f>
        <v>M</v>
      </c>
      <c r="V29" s="29" t="str">
        <f>IFERROR(INDEX(People,MATCH(T28,Right,0)),"tbd")</f>
        <v>10 A **</v>
      </c>
      <c r="W29" s="23">
        <f>IF(V29="tbd",0,((INDEX(Weight,MATCH(V29,People,0)))*9.8))</f>
        <v>901.6</v>
      </c>
      <c r="X29" s="26">
        <f>W29*M29</f>
        <v>2107.4900000000002</v>
      </c>
      <c r="Y29" s="26">
        <f>W29*L29</f>
        <v>297.52800000000002</v>
      </c>
      <c r="Z29" s="13">
        <f>IF(ISNA(VLOOKUP(V29,Team,4,FALSE)),"",VLOOKUP(V29,Team,4,FALSE))</f>
        <v>92</v>
      </c>
      <c r="AK29" s="6">
        <f t="shared" si="1"/>
        <v>1</v>
      </c>
    </row>
    <row r="30" spans="1:43" ht="16.5" thickTop="1" thickBot="1" x14ac:dyDescent="0.3">
      <c r="B30" s="54" t="str">
        <f>IF(Crew!D28=0,"",Crew!D28)</f>
        <v/>
      </c>
      <c r="C30" s="55" t="str">
        <f>IF(ISNA(VLOOKUP(B30,'Master Database'!$C$2:$J$67,2,FALSE)),"",VLOOKUP(B30,'Master Database'!$C$2:$J$67,2,FALSE))</f>
        <v/>
      </c>
      <c r="D30" s="55" t="str">
        <f>IF(ISNA(VLOOKUP(B30,'Master Database'!$C$2:$J$67,3,FALSE)),"",VLOOKUP(B30,'Master Database'!$C$2:$J$67,3,FALSE))</f>
        <v/>
      </c>
      <c r="E30" s="55" t="str">
        <f>IF(ISNA(VLOOKUP(B30,'Master Database'!$C$2:$J$67,4,FALSE)),"",VLOOKUP(B30,'Master Database'!$C$2:$J$67,4,FALSE))</f>
        <v/>
      </c>
      <c r="F30" s="56"/>
      <c r="G30" s="56"/>
      <c r="H30" s="56"/>
      <c r="I30" s="56"/>
      <c r="L30" s="22"/>
      <c r="M30" s="22"/>
      <c r="N30" s="30"/>
      <c r="O30" s="26"/>
      <c r="P30" s="26"/>
      <c r="Q30" s="30"/>
      <c r="T30" s="44">
        <v>9</v>
      </c>
      <c r="W30" s="30"/>
      <c r="X30" s="26"/>
      <c r="Y30" s="26"/>
      <c r="AC30" s="20" t="s">
        <v>40</v>
      </c>
      <c r="AK30" s="6">
        <f t="shared" si="1"/>
        <v>1</v>
      </c>
    </row>
    <row r="31" spans="1:43" ht="15.75" thickBot="1" x14ac:dyDescent="0.3">
      <c r="B31" s="43" t="str">
        <f>IF(Crew!D29=0,"",Crew!D29)</f>
        <v/>
      </c>
      <c r="C31" s="3" t="str">
        <f>IF(ISNA(VLOOKUP(B31,'Master Database'!$C$2:$J$67,2,FALSE)),"",VLOOKUP(B31,'Master Database'!$C$2:$J$67,2,FALSE))</f>
        <v/>
      </c>
      <c r="D31" s="3" t="str">
        <f>IF(ISNA(VLOOKUP(B31,'Master Database'!$C$2:$J$67,3,FALSE)),"",VLOOKUP(B31,'Master Database'!$C$2:$J$67,3,FALSE))</f>
        <v/>
      </c>
      <c r="E31" s="3" t="str">
        <f>IF(ISNA(VLOOKUP(B31,'Master Database'!$C$2:$J$67,4,FALSE)),"",VLOOKUP(B31,'Master Database'!$C$2:$J$67,4,FALSE))</f>
        <v/>
      </c>
      <c r="F31" s="40"/>
      <c r="G31" s="40"/>
      <c r="H31" s="40"/>
      <c r="I31" s="40"/>
      <c r="K31" s="9" t="str">
        <f>IF(ISNA(VLOOKUP(R31,Team,4,FALSE)),"",VLOOKUP(R31,Team,4,FALSE))</f>
        <v/>
      </c>
      <c r="L31" s="22">
        <f>E58</f>
        <v>0.28499999999999998</v>
      </c>
      <c r="M31" s="22">
        <f>M29+0.8</f>
        <v>3.1375000000000002</v>
      </c>
      <c r="N31" s="23"/>
      <c r="O31" s="26">
        <f>Q31*L31</f>
        <v>0</v>
      </c>
      <c r="P31" s="26">
        <f>Q31*M31</f>
        <v>0</v>
      </c>
      <c r="Q31" s="23">
        <f>IF(R31="tbd",0,(INDEX(Weight,MATCH(R31,People,0)))*9.8)</f>
        <v>0</v>
      </c>
      <c r="R31" s="27" t="str">
        <f>IFERROR(INDEX(People,MATCH(T30,Left,0)),"tbd")</f>
        <v>tbd</v>
      </c>
      <c r="S31" s="11" t="e">
        <f>VLOOKUP(R31,$B$4:$C$43,2,FALSE)</f>
        <v>#N/A</v>
      </c>
      <c r="T31" s="28" t="s">
        <v>8</v>
      </c>
      <c r="U31" s="11" t="str">
        <f>VLOOKUP(V31,$B$4:$C$43,2,FALSE)</f>
        <v>M</v>
      </c>
      <c r="V31" s="29" t="str">
        <f>IFERROR(INDEX(People,MATCH(T30,Right,0)),"tbd")</f>
        <v xml:space="preserve">14 A </v>
      </c>
      <c r="W31" s="23">
        <f>IF(V31="tbd",0,((INDEX(Weight,MATCH(V31,People,0)))*9.8))</f>
        <v>548.80000000000007</v>
      </c>
      <c r="X31" s="26">
        <f>W31*M31</f>
        <v>1721.8600000000004</v>
      </c>
      <c r="Y31" s="26">
        <f>W31*L31</f>
        <v>156.40800000000002</v>
      </c>
      <c r="Z31" s="13">
        <f>IF(ISNA(VLOOKUP(V31,Team,4,FALSE)),"",VLOOKUP(V31,Team,4,FALSE))</f>
        <v>56</v>
      </c>
      <c r="AC31" s="20" t="s">
        <v>39</v>
      </c>
      <c r="AK31" s="6">
        <f t="shared" si="1"/>
        <v>1</v>
      </c>
    </row>
    <row r="32" spans="1:43" ht="15.75" thickBot="1" x14ac:dyDescent="0.3">
      <c r="B32" s="43" t="str">
        <f>IF(Crew!D30=0,"",Crew!D30)</f>
        <v/>
      </c>
      <c r="C32" s="3" t="str">
        <f>IF(ISNA(VLOOKUP(B32,'Master Database'!$C$2:$J$67,2,FALSE)),"",VLOOKUP(B32,'Master Database'!$C$2:$J$67,2,FALSE))</f>
        <v/>
      </c>
      <c r="D32" s="3" t="str">
        <f>IF(ISNA(VLOOKUP(B32,'Master Database'!$C$2:$J$67,3,FALSE)),"",VLOOKUP(B32,'Master Database'!$C$2:$J$67,3,FALSE))</f>
        <v/>
      </c>
      <c r="E32" s="3" t="str">
        <f>IF(ISNA(VLOOKUP(B32,'Master Database'!$C$2:$J$67,4,FALSE)),"",VLOOKUP(B32,'Master Database'!$C$2:$J$67,4,FALSE))</f>
        <v/>
      </c>
      <c r="F32" s="40"/>
      <c r="G32" s="40"/>
      <c r="H32" s="40"/>
      <c r="I32" s="40"/>
      <c r="L32" s="22"/>
      <c r="M32" s="22"/>
      <c r="N32" s="30"/>
      <c r="O32" s="26"/>
      <c r="P32" s="26"/>
      <c r="Q32" s="30"/>
      <c r="T32" s="44">
        <v>10</v>
      </c>
      <c r="W32" s="30"/>
      <c r="X32" s="26"/>
      <c r="Y32" s="26"/>
      <c r="AC32" s="21">
        <f>(AB28-AC28)</f>
        <v>303.43249999999898</v>
      </c>
      <c r="AK32" s="6">
        <f t="shared" si="1"/>
        <v>1</v>
      </c>
    </row>
    <row r="33" spans="2:37" ht="15.75" thickBot="1" x14ac:dyDescent="0.3">
      <c r="B33" s="43" t="str">
        <f>IF(Crew!D31=0,"",Crew!D31)</f>
        <v/>
      </c>
      <c r="C33" s="3" t="str">
        <f>IF(ISNA(VLOOKUP(B33,'Master Database'!$C$2:$J$67,2,FALSE)),"",VLOOKUP(B33,'Master Database'!$C$2:$J$67,2,FALSE))</f>
        <v/>
      </c>
      <c r="D33" s="3" t="str">
        <f>IF(ISNA(VLOOKUP(B33,'Master Database'!$C$2:$J$67,3,FALSE)),"",VLOOKUP(B33,'Master Database'!$C$2:$J$67,3,FALSE))</f>
        <v/>
      </c>
      <c r="E33" s="3" t="str">
        <f>IF(ISNA(VLOOKUP(B33,'Master Database'!$C$2:$J$67,4,FALSE)),"",VLOOKUP(B33,'Master Database'!$C$2:$J$67,4,FALSE))</f>
        <v/>
      </c>
      <c r="F33" s="40"/>
      <c r="G33" s="40"/>
      <c r="H33" s="40"/>
      <c r="I33" s="40"/>
      <c r="K33" s="9">
        <f>IF(ISNA(VLOOKUP(R33,Team,4,FALSE)),"",VLOOKUP(R33,Team,4,FALSE))</f>
        <v>60</v>
      </c>
      <c r="L33" s="22">
        <f>E59</f>
        <v>0.245</v>
      </c>
      <c r="M33" s="22">
        <f>M31+0.8</f>
        <v>3.9375</v>
      </c>
      <c r="N33" s="23"/>
      <c r="O33" s="26">
        <f>Q33*L33</f>
        <v>144.06</v>
      </c>
      <c r="P33" s="26">
        <f>Q33*M33</f>
        <v>2315.25</v>
      </c>
      <c r="Q33" s="23">
        <f>IF(R33="tbd",0,(INDEX(Weight,MATCH(R33,People,0)))*9.8)</f>
        <v>588</v>
      </c>
      <c r="R33" s="27" t="str">
        <f>IFERROR(INDEX(People,MATCH(T32,Left,0)),"tbd")</f>
        <v xml:space="preserve">13 A </v>
      </c>
      <c r="S33" s="11" t="str">
        <f>VLOOKUP(R33,$B$4:$C$43,2,FALSE)</f>
        <v>F</v>
      </c>
      <c r="T33" s="28" t="s">
        <v>9</v>
      </c>
      <c r="U33" s="11" t="e">
        <f>VLOOKUP(V33,$B$4:$C$43,2,FALSE)</f>
        <v>#N/A</v>
      </c>
      <c r="V33" s="29" t="str">
        <f>IFERROR(INDEX(People,MATCH(T32,Right,0)),"tbd")</f>
        <v>tbd</v>
      </c>
      <c r="W33" s="23">
        <f>IF(V33="tbd",0,((INDEX(Weight,MATCH(V33,People,0)))*9.8))</f>
        <v>0</v>
      </c>
      <c r="X33" s="26">
        <f>W33*M33</f>
        <v>0</v>
      </c>
      <c r="Y33" s="26">
        <f>W33*L33</f>
        <v>0</v>
      </c>
      <c r="Z33" s="13" t="str">
        <f>IF(ISNA(VLOOKUP(V33,Team,4,FALSE)),"",VLOOKUP(V33,Team,4,FALSE))</f>
        <v/>
      </c>
      <c r="AK33" s="6">
        <f t="shared" si="1"/>
        <v>1</v>
      </c>
    </row>
    <row r="34" spans="2:37" x14ac:dyDescent="0.25">
      <c r="B34" s="43" t="str">
        <f>IF(Crew!D32=0,"",Crew!D32)</f>
        <v/>
      </c>
      <c r="C34" s="3" t="str">
        <f>IF(ISNA(VLOOKUP(B34,'Master Database'!$C$2:$J$67,2,FALSE)),"",VLOOKUP(B34,'Master Database'!$C$2:$J$67,2,FALSE))</f>
        <v/>
      </c>
      <c r="D34" s="3" t="str">
        <f>IF(ISNA(VLOOKUP(B34,'Master Database'!$C$2:$J$67,3,FALSE)),"",VLOOKUP(B34,'Master Database'!$C$2:$J$67,3,FALSE))</f>
        <v/>
      </c>
      <c r="E34" s="3" t="str">
        <f>IF(ISNA(VLOOKUP(B34,'Master Database'!$C$2:$J$67,4,FALSE)),"",VLOOKUP(B34,'Master Database'!$C$2:$J$67,4,FALSE))</f>
        <v/>
      </c>
      <c r="F34" s="40"/>
      <c r="G34" s="40"/>
      <c r="H34" s="40"/>
      <c r="I34" s="40"/>
      <c r="L34" s="24"/>
      <c r="M34" s="22"/>
      <c r="AC34" s="20" t="s">
        <v>47</v>
      </c>
      <c r="AK34" s="6">
        <f t="shared" si="1"/>
        <v>1</v>
      </c>
    </row>
    <row r="35" spans="2:37" x14ac:dyDescent="0.25">
      <c r="B35" s="43" t="str">
        <f>IF(Crew!D33=0,"",Crew!D33)</f>
        <v/>
      </c>
      <c r="C35" s="3" t="str">
        <f>IF(ISNA(VLOOKUP(B35,'Master Database'!$C$2:$J$67,2,FALSE)),"",VLOOKUP(B35,'Master Database'!$C$2:$J$67,2,FALSE))</f>
        <v/>
      </c>
      <c r="D35" s="3" t="str">
        <f>IF(ISNA(VLOOKUP(B35,'Master Database'!$C$2:$J$67,3,FALSE)),"",VLOOKUP(B35,'Master Database'!$C$2:$J$67,3,FALSE))</f>
        <v/>
      </c>
      <c r="E35" s="3" t="str">
        <f>IF(ISNA(VLOOKUP(B35,'Master Database'!$C$2:$J$67,4,FALSE)),"",VLOOKUP(B35,'Master Database'!$C$2:$J$67,4,FALSE))</f>
        <v/>
      </c>
      <c r="F35" s="40"/>
      <c r="G35" s="40"/>
      <c r="H35" s="40"/>
      <c r="I35" s="40"/>
      <c r="L35" s="24"/>
      <c r="M35" s="22"/>
      <c r="T35" s="8" t="s">
        <v>62</v>
      </c>
      <c r="AC35" s="20" t="s">
        <v>48</v>
      </c>
      <c r="AK35" s="6">
        <f t="shared" si="1"/>
        <v>1</v>
      </c>
    </row>
    <row r="36" spans="2:37" ht="15.75" thickBot="1" x14ac:dyDescent="0.3">
      <c r="B36" s="43" t="str">
        <f>IF(Crew!D34=0,"",Crew!D34)</f>
        <v/>
      </c>
      <c r="C36" s="3" t="str">
        <f>IF(ISNA(VLOOKUP(B36,'Master Database'!$C$2:$J$67,2,FALSE)),"",VLOOKUP(B36,'Master Database'!$C$2:$J$67,2,FALSE))</f>
        <v/>
      </c>
      <c r="D36" s="3" t="str">
        <f>IF(ISNA(VLOOKUP(B36,'Master Database'!$C$2:$J$67,3,FALSE)),"",VLOOKUP(B36,'Master Database'!$C$2:$J$67,3,FALSE))</f>
        <v/>
      </c>
      <c r="E36" s="3" t="str">
        <f>IF(ISNA(VLOOKUP(B36,'Master Database'!$C$2:$J$67,4,FALSE)),"",VLOOKUP(B36,'Master Database'!$C$2:$J$67,4,FALSE))</f>
        <v/>
      </c>
      <c r="F36" s="40"/>
      <c r="G36" s="40"/>
      <c r="H36" s="40"/>
      <c r="I36" s="40"/>
      <c r="L36" s="24"/>
      <c r="M36" s="22"/>
      <c r="T36" s="8" t="s">
        <v>10</v>
      </c>
      <c r="AC36" s="25">
        <f>(AC32/144)*0.02</f>
        <v>4.2143402777777637E-2</v>
      </c>
      <c r="AK36" s="6">
        <f t="shared" si="1"/>
        <v>1</v>
      </c>
    </row>
    <row r="37" spans="2:37" ht="15.75" thickBot="1" x14ac:dyDescent="0.3">
      <c r="B37" s="43" t="str">
        <f>IF(Crew!D35=0,"",Crew!D35)</f>
        <v/>
      </c>
      <c r="C37" s="3" t="str">
        <f>IF(ISNA(VLOOKUP(B37,'Master Database'!$C$2:$J$67,2,FALSE)),"",VLOOKUP(B37,'Master Database'!$C$2:$J$67,2,FALSE))</f>
        <v/>
      </c>
      <c r="D37" s="3" t="str">
        <f>IF(ISNA(VLOOKUP(B37,'Master Database'!$C$2:$J$67,3,FALSE)),"",VLOOKUP(B37,'Master Database'!$C$2:$J$67,3,FALSE))</f>
        <v/>
      </c>
      <c r="E37" s="3" t="str">
        <f>IF(ISNA(VLOOKUP(B37,'Master Database'!$C$2:$J$67,4,FALSE)),"",VLOOKUP(B37,'Master Database'!$C$2:$J$67,4,FALSE))</f>
        <v/>
      </c>
      <c r="F37" s="40"/>
      <c r="G37" s="40"/>
      <c r="H37" s="40"/>
      <c r="I37" s="40"/>
      <c r="K37" s="9">
        <f>IF(ISNA(VLOOKUP(S37,Team,4,FALSE)),"",VLOOKUP(S37,Team,4,FALSE))</f>
        <v>73</v>
      </c>
      <c r="L37" s="22">
        <v>0</v>
      </c>
      <c r="M37" s="22">
        <v>4.1500000000000004</v>
      </c>
      <c r="N37" s="7"/>
      <c r="O37" s="6">
        <f>Q37*L37</f>
        <v>0</v>
      </c>
      <c r="P37" s="6">
        <f>Q37*M37</f>
        <v>2968.9100000000008</v>
      </c>
      <c r="Q37" s="23">
        <f>IF(S37="tbd",0,(INDEX(Weight,MATCH(S37,People,0)))*9.8)</f>
        <v>715.40000000000009</v>
      </c>
      <c r="R37" s="46"/>
      <c r="S37" s="87" t="str">
        <f>IFERROR(INDEX(People,MATCH(T35,Helm,0)),"tbd")</f>
        <v>15 A *L</v>
      </c>
      <c r="T37" s="88"/>
      <c r="U37" s="89"/>
      <c r="V37" s="47"/>
      <c r="W37" s="7"/>
      <c r="Z37" s="13">
        <f>IF(ISNA(VLOOKUP(S37,Team,4,FALSE)),"",VLOOKUP(S37,Team,4,FALSE))</f>
        <v>73</v>
      </c>
      <c r="AK37" s="6">
        <f t="shared" ref="AK37:AK43" si="2">IF(F37="",1,"")</f>
        <v>1</v>
      </c>
    </row>
    <row r="38" spans="2:37" x14ac:dyDescent="0.25">
      <c r="B38" s="43" t="str">
        <f>IF(Crew!D36=0,"",Crew!D36)</f>
        <v/>
      </c>
      <c r="C38" s="3" t="str">
        <f>IF(ISNA(VLOOKUP(B38,'Master Database'!$C$2:$J$67,2,FALSE)),"",VLOOKUP(B38,'Master Database'!$C$2:$J$67,2,FALSE))</f>
        <v/>
      </c>
      <c r="D38" s="3" t="str">
        <f>IF(ISNA(VLOOKUP(B38,'Master Database'!$C$2:$J$67,3,FALSE)),"",VLOOKUP(B38,'Master Database'!$C$2:$J$67,3,FALSE))</f>
        <v/>
      </c>
      <c r="E38" s="3" t="str">
        <f>IF(ISNA(VLOOKUP(B38,'Master Database'!$C$2:$J$67,4,FALSE)),"",VLOOKUP(B38,'Master Database'!$C$2:$J$67,4,FALSE))</f>
        <v/>
      </c>
      <c r="F38" s="40"/>
      <c r="G38" s="40"/>
      <c r="H38" s="40"/>
      <c r="I38" s="40"/>
      <c r="AK38" s="6">
        <f t="shared" si="2"/>
        <v>1</v>
      </c>
    </row>
    <row r="39" spans="2:37" x14ac:dyDescent="0.25">
      <c r="B39" s="43" t="str">
        <f>IF(Crew!D37=0,"",Crew!D37)</f>
        <v/>
      </c>
      <c r="C39" s="3" t="str">
        <f>IF(ISNA(VLOOKUP(B39,'Master Database'!$C$2:$J$67,2,FALSE)),"",VLOOKUP(B39,'Master Database'!$C$2:$J$67,2,FALSE))</f>
        <v/>
      </c>
      <c r="D39" s="3" t="str">
        <f>IF(ISNA(VLOOKUP(B39,'Master Database'!$C$2:$J$67,3,FALSE)),"",VLOOKUP(B39,'Master Database'!$C$2:$J$67,3,FALSE))</f>
        <v/>
      </c>
      <c r="E39" s="3" t="str">
        <f>IF(ISNA(VLOOKUP(B39,'Master Database'!$C$2:$J$67,4,FALSE)),"",VLOOKUP(B39,'Master Database'!$C$2:$J$67,4,FALSE))</f>
        <v/>
      </c>
      <c r="F39" s="40"/>
      <c r="G39" s="40"/>
      <c r="H39" s="40"/>
      <c r="I39" s="40"/>
      <c r="Z39" s="9" t="s">
        <v>83</v>
      </c>
      <c r="AA39" s="42" t="str">
        <f>SUM(K11:K37)+SUM(Z15:Z33)&amp;" kg"</f>
        <v>1232 kg</v>
      </c>
      <c r="AK39" s="6">
        <f t="shared" si="2"/>
        <v>1</v>
      </c>
    </row>
    <row r="40" spans="2:37" x14ac:dyDescent="0.25">
      <c r="B40" s="43" t="str">
        <f>IF(Crew!D38=0,"",Crew!D38)</f>
        <v/>
      </c>
      <c r="C40" s="3" t="str">
        <f>IF(ISNA(VLOOKUP(B40,'Master Database'!$C$2:$J$67,2,FALSE)),"",VLOOKUP(B40,'Master Database'!$C$2:$J$67,2,FALSE))</f>
        <v/>
      </c>
      <c r="D40" s="3" t="str">
        <f>IF(ISNA(VLOOKUP(B40,'Master Database'!$C$2:$J$67,3,FALSE)),"",VLOOKUP(B40,'Master Database'!$C$2:$J$67,3,FALSE))</f>
        <v/>
      </c>
      <c r="E40" s="3" t="str">
        <f>IF(ISNA(VLOOKUP(B40,'Master Database'!$C$2:$J$67,4,FALSE)),"",VLOOKUP(B40,'Master Database'!$C$2:$J$67,4,FALSE))</f>
        <v/>
      </c>
      <c r="F40" s="40"/>
      <c r="G40" s="40"/>
      <c r="H40" s="40"/>
      <c r="I40" s="40"/>
      <c r="AK40" s="6">
        <f t="shared" si="2"/>
        <v>1</v>
      </c>
    </row>
    <row r="41" spans="2:37" x14ac:dyDescent="0.25">
      <c r="B41" s="43" t="str">
        <f>IF(Crew!D39=0,"",Crew!D39)</f>
        <v/>
      </c>
      <c r="C41" s="3" t="str">
        <f>IF(ISNA(VLOOKUP(B41,'Master Database'!$C$2:$J$67,2,FALSE)),"",VLOOKUP(B41,'Master Database'!$C$2:$J$67,2,FALSE))</f>
        <v/>
      </c>
      <c r="D41" s="3" t="str">
        <f>IF(ISNA(VLOOKUP(B41,'Master Database'!$C$2:$J$67,3,FALSE)),"",VLOOKUP(B41,'Master Database'!$C$2:$J$67,3,FALSE))</f>
        <v/>
      </c>
      <c r="E41" s="3" t="str">
        <f>IF(ISNA(VLOOKUP(B41,'Master Database'!$C$2:$J$67,4,FALSE)),"",VLOOKUP(B41,'Master Database'!$C$2:$J$67,4,FALSE))</f>
        <v/>
      </c>
      <c r="F41" s="40"/>
      <c r="G41" s="40"/>
      <c r="H41" s="40"/>
      <c r="I41" s="40"/>
      <c r="T41" s="20" t="s">
        <v>55</v>
      </c>
      <c r="AK41" s="6">
        <f t="shared" si="2"/>
        <v>1</v>
      </c>
    </row>
    <row r="42" spans="2:37" ht="15.75" thickBot="1" x14ac:dyDescent="0.3">
      <c r="B42" s="43" t="str">
        <f>IF(Crew!D40=0,"",Crew!D40)</f>
        <v/>
      </c>
      <c r="C42" s="3" t="str">
        <f>IF(ISNA(VLOOKUP(B42,'Master Database'!$C$2:$J$67,2,FALSE)),"",VLOOKUP(B42,'Master Database'!$C$2:$J$67,2,FALSE))</f>
        <v/>
      </c>
      <c r="D42" s="3" t="str">
        <f>IF(ISNA(VLOOKUP(B42,'Master Database'!$C$2:$J$67,3,FALSE)),"",VLOOKUP(B42,'Master Database'!$C$2:$J$67,3,FALSE))</f>
        <v/>
      </c>
      <c r="E42" s="3" t="str">
        <f>IF(ISNA(VLOOKUP(B42,'Master Database'!$C$2:$J$67,4,FALSE)),"",VLOOKUP(B42,'Master Database'!$C$2:$J$67,4,FALSE))</f>
        <v/>
      </c>
      <c r="F42" s="40"/>
      <c r="G42" s="40"/>
      <c r="H42" s="40"/>
      <c r="I42" s="40"/>
      <c r="S42" s="32"/>
      <c r="T42" s="20" t="s">
        <v>82</v>
      </c>
      <c r="AK42" s="6">
        <f t="shared" si="2"/>
        <v>1</v>
      </c>
    </row>
    <row r="43" spans="2:37" ht="21.75" thickBot="1" x14ac:dyDescent="0.4">
      <c r="B43" s="43" t="str">
        <f>IF(Crew!D41=0,"",Crew!D41)</f>
        <v/>
      </c>
      <c r="C43" s="3" t="str">
        <f>IF(ISNA(VLOOKUP(B43,'Master Database'!$C$2:$J$67,2,FALSE)),"",VLOOKUP(B43,'Master Database'!$C$2:$J$67,2,FALSE))</f>
        <v/>
      </c>
      <c r="D43" s="3" t="str">
        <f>IF(ISNA(VLOOKUP(B43,'Master Database'!$C$2:$J$67,3,FALSE)),"",VLOOKUP(B43,'Master Database'!$C$2:$J$67,3,FALSE))</f>
        <v/>
      </c>
      <c r="E43" s="3" t="str">
        <f>IF(ISNA(VLOOKUP(B43,'Master Database'!$C$2:$J$67,4,FALSE)),"",VLOOKUP(B43,'Master Database'!$C$2:$J$67,4,FALSE))</f>
        <v/>
      </c>
      <c r="F43" s="40"/>
      <c r="G43" s="40"/>
      <c r="H43" s="40"/>
      <c r="I43" s="40"/>
      <c r="S43" s="32"/>
      <c r="T43" s="31" t="str">
        <f>ROUND(ABS(D107-E107),0)&amp;"mm"</f>
        <v>6mm</v>
      </c>
      <c r="U43" s="48" t="str">
        <f>IF(D107-E107=0,"",IF(D107&gt;E107,AG52,AG51))</f>
        <v>↗️</v>
      </c>
      <c r="V43" s="49" t="str">
        <f>IF(U43=AG52,"Bow heavy",IF(U43=AG51,"Stern heavy",""))</f>
        <v>Stern heavy</v>
      </c>
      <c r="AK43" s="6">
        <f t="shared" si="2"/>
        <v>1</v>
      </c>
    </row>
    <row r="44" spans="2:37" x14ac:dyDescent="0.25">
      <c r="S44" s="32"/>
    </row>
    <row r="45" spans="2:37" x14ac:dyDescent="0.25">
      <c r="S45" s="32"/>
      <c r="T45" s="33"/>
    </row>
    <row r="46" spans="2:37" x14ac:dyDescent="0.25">
      <c r="S46" s="32"/>
      <c r="T46" s="33"/>
    </row>
    <row r="47" spans="2:37" x14ac:dyDescent="0.25">
      <c r="S47" s="32"/>
      <c r="T47" s="33"/>
    </row>
    <row r="48" spans="2:37" x14ac:dyDescent="0.25">
      <c r="S48" s="32"/>
      <c r="T48" s="33"/>
    </row>
    <row r="49" spans="2:33" x14ac:dyDescent="0.25">
      <c r="S49" s="32"/>
      <c r="T49" s="33"/>
    </row>
    <row r="50" spans="2:33" x14ac:dyDescent="0.25">
      <c r="S50" s="32"/>
      <c r="T50" s="33"/>
    </row>
    <row r="51" spans="2:33" x14ac:dyDescent="0.25">
      <c r="S51" s="32"/>
      <c r="T51" s="33"/>
      <c r="AG51" s="7" t="s">
        <v>86</v>
      </c>
    </row>
    <row r="52" spans="2:33" x14ac:dyDescent="0.25">
      <c r="B52" s="19" t="s">
        <v>32</v>
      </c>
      <c r="C52" s="34"/>
      <c r="AG52" s="7" t="s">
        <v>87</v>
      </c>
    </row>
    <row r="53" spans="2:33" x14ac:dyDescent="0.25">
      <c r="B53" s="19"/>
      <c r="C53" s="34"/>
    </row>
    <row r="54" spans="2:33" ht="30" x14ac:dyDescent="0.25">
      <c r="D54" s="7" t="s">
        <v>23</v>
      </c>
      <c r="E54" s="35" t="s">
        <v>16</v>
      </c>
      <c r="F54" s="35"/>
      <c r="G54" s="35"/>
      <c r="H54" s="35"/>
      <c r="I54" s="35"/>
      <c r="J54" s="35"/>
      <c r="K54" s="36"/>
    </row>
    <row r="55" spans="2:33" x14ac:dyDescent="0.25">
      <c r="B55" s="6" t="s">
        <v>11</v>
      </c>
      <c r="D55" s="37">
        <v>1.1499999999999999</v>
      </c>
      <c r="E55" s="37">
        <f>(D55/2) -0.2</f>
        <v>0.37499999999999994</v>
      </c>
      <c r="F55" s="37"/>
      <c r="G55" s="37"/>
      <c r="H55" s="37"/>
      <c r="I55" s="37"/>
      <c r="J55" s="37"/>
      <c r="K55" s="38"/>
    </row>
    <row r="56" spans="2:33" x14ac:dyDescent="0.25">
      <c r="B56" s="6" t="s">
        <v>12</v>
      </c>
      <c r="D56" s="37">
        <v>1.1100000000000001</v>
      </c>
      <c r="E56" s="37">
        <f>(D56/2) -0.2</f>
        <v>0.35500000000000004</v>
      </c>
      <c r="F56" s="37"/>
      <c r="G56" s="37"/>
      <c r="H56" s="37"/>
      <c r="I56" s="37"/>
      <c r="J56" s="37"/>
      <c r="K56" s="38"/>
    </row>
    <row r="57" spans="2:33" x14ac:dyDescent="0.25">
      <c r="B57" s="6" t="s">
        <v>13</v>
      </c>
      <c r="D57" s="37">
        <v>1.06</v>
      </c>
      <c r="E57" s="37">
        <f>(D57/2) -0.2</f>
        <v>0.33</v>
      </c>
      <c r="F57" s="37"/>
      <c r="G57" s="37"/>
      <c r="H57" s="37"/>
      <c r="I57" s="37"/>
      <c r="J57" s="37"/>
      <c r="K57" s="38"/>
    </row>
    <row r="58" spans="2:33" x14ac:dyDescent="0.25">
      <c r="B58" s="6" t="s">
        <v>14</v>
      </c>
      <c r="D58" s="37">
        <v>0.97</v>
      </c>
      <c r="E58" s="37">
        <f>(D58/2) -0.2</f>
        <v>0.28499999999999998</v>
      </c>
      <c r="F58" s="37"/>
      <c r="G58" s="37"/>
      <c r="H58" s="37"/>
      <c r="I58" s="37"/>
      <c r="J58" s="37"/>
      <c r="K58" s="38"/>
    </row>
    <row r="59" spans="2:33" x14ac:dyDescent="0.25">
      <c r="B59" s="6" t="s">
        <v>15</v>
      </c>
      <c r="D59" s="37">
        <v>0.89</v>
      </c>
      <c r="E59" s="37">
        <f>(D59/2) -0.2</f>
        <v>0.245</v>
      </c>
      <c r="F59" s="37"/>
      <c r="G59" s="37"/>
      <c r="H59" s="37"/>
      <c r="I59" s="37"/>
      <c r="J59" s="37"/>
      <c r="K59" s="38"/>
    </row>
    <row r="60" spans="2:33" x14ac:dyDescent="0.25">
      <c r="B60" s="6" t="s">
        <v>60</v>
      </c>
      <c r="D60" s="37">
        <v>12.4</v>
      </c>
    </row>
    <row r="62" spans="2:33" x14ac:dyDescent="0.25">
      <c r="D62" s="6" t="s">
        <v>24</v>
      </c>
    </row>
    <row r="63" spans="2:33" x14ac:dyDescent="0.25">
      <c r="B63" s="6" t="s">
        <v>10</v>
      </c>
      <c r="D63" s="7">
        <v>4.43</v>
      </c>
    </row>
    <row r="64" spans="2:33" x14ac:dyDescent="0.25">
      <c r="B64" s="6" t="s">
        <v>0</v>
      </c>
      <c r="D64" s="7">
        <v>4.2300000000000004</v>
      </c>
    </row>
    <row r="67" spans="2:5" x14ac:dyDescent="0.25">
      <c r="D67" s="78" t="s">
        <v>22</v>
      </c>
      <c r="E67" s="78"/>
    </row>
    <row r="68" spans="2:5" x14ac:dyDescent="0.25">
      <c r="D68" s="7" t="s">
        <v>17</v>
      </c>
      <c r="E68" s="7" t="s">
        <v>18</v>
      </c>
    </row>
    <row r="69" spans="2:5" x14ac:dyDescent="0.25">
      <c r="B69" s="6">
        <v>1</v>
      </c>
      <c r="D69" s="7">
        <f t="shared" ref="D69:D78" si="3">COUNTIF(Left,B69)</f>
        <v>0</v>
      </c>
      <c r="E69" s="7">
        <f t="shared" ref="E69:E78" si="4">COUNTIF(Right,B69)</f>
        <v>1</v>
      </c>
    </row>
    <row r="70" spans="2:5" x14ac:dyDescent="0.25">
      <c r="B70" s="6">
        <v>2</v>
      </c>
      <c r="D70" s="7">
        <f t="shared" si="3"/>
        <v>1</v>
      </c>
      <c r="E70" s="7">
        <f t="shared" si="4"/>
        <v>0</v>
      </c>
    </row>
    <row r="71" spans="2:5" x14ac:dyDescent="0.25">
      <c r="B71" s="6">
        <v>3</v>
      </c>
      <c r="D71" s="7">
        <f t="shared" si="3"/>
        <v>1</v>
      </c>
      <c r="E71" s="7">
        <f t="shared" si="4"/>
        <v>1</v>
      </c>
    </row>
    <row r="72" spans="2:5" x14ac:dyDescent="0.25">
      <c r="B72" s="6">
        <v>4</v>
      </c>
      <c r="D72" s="7">
        <f t="shared" si="3"/>
        <v>1</v>
      </c>
      <c r="E72" s="7">
        <f t="shared" si="4"/>
        <v>1</v>
      </c>
    </row>
    <row r="73" spans="2:5" x14ac:dyDescent="0.25">
      <c r="B73" s="6">
        <v>5</v>
      </c>
      <c r="D73" s="7">
        <f t="shared" si="3"/>
        <v>1</v>
      </c>
      <c r="E73" s="7">
        <f t="shared" si="4"/>
        <v>1</v>
      </c>
    </row>
    <row r="74" spans="2:5" x14ac:dyDescent="0.25">
      <c r="B74" s="6">
        <v>6</v>
      </c>
      <c r="D74" s="7">
        <f t="shared" si="3"/>
        <v>1</v>
      </c>
      <c r="E74" s="7">
        <f t="shared" si="4"/>
        <v>1</v>
      </c>
    </row>
    <row r="75" spans="2:5" x14ac:dyDescent="0.25">
      <c r="B75" s="6">
        <v>7</v>
      </c>
      <c r="D75" s="7">
        <f t="shared" si="3"/>
        <v>1</v>
      </c>
      <c r="E75" s="7">
        <f t="shared" si="4"/>
        <v>0</v>
      </c>
    </row>
    <row r="76" spans="2:5" x14ac:dyDescent="0.25">
      <c r="B76" s="6">
        <v>8</v>
      </c>
      <c r="D76" s="7">
        <f t="shared" si="3"/>
        <v>0</v>
      </c>
      <c r="E76" s="7">
        <f t="shared" si="4"/>
        <v>1</v>
      </c>
    </row>
    <row r="77" spans="2:5" x14ac:dyDescent="0.25">
      <c r="B77" s="6">
        <v>9</v>
      </c>
      <c r="D77" s="7">
        <f t="shared" si="3"/>
        <v>0</v>
      </c>
      <c r="E77" s="7">
        <f t="shared" si="4"/>
        <v>1</v>
      </c>
    </row>
    <row r="78" spans="2:5" x14ac:dyDescent="0.25">
      <c r="B78" s="6">
        <v>10</v>
      </c>
      <c r="D78" s="7">
        <f t="shared" si="3"/>
        <v>1</v>
      </c>
      <c r="E78" s="7">
        <f t="shared" si="4"/>
        <v>0</v>
      </c>
    </row>
    <row r="82" spans="4:5" x14ac:dyDescent="0.25">
      <c r="D82" s="6" t="s">
        <v>35</v>
      </c>
      <c r="E82" s="6" t="s">
        <v>36</v>
      </c>
    </row>
    <row r="83" spans="4:5" x14ac:dyDescent="0.25">
      <c r="D83" s="6">
        <f>SUM(O15:O33)</f>
        <v>1851.4650000000001</v>
      </c>
      <c r="E83" s="6">
        <f>SUM(Y15:Y33)</f>
        <v>1735.384</v>
      </c>
    </row>
    <row r="84" spans="4:5" x14ac:dyDescent="0.25">
      <c r="E84" s="6">
        <f>D83-E83</f>
        <v>116.08100000000013</v>
      </c>
    </row>
    <row r="85" spans="4:5" x14ac:dyDescent="0.25">
      <c r="E85" s="19">
        <v>1000</v>
      </c>
    </row>
    <row r="86" spans="4:5" x14ac:dyDescent="0.25">
      <c r="D86" s="6">
        <v>-1</v>
      </c>
      <c r="E86" s="6">
        <v>1</v>
      </c>
    </row>
    <row r="87" spans="4:5" x14ac:dyDescent="0.25">
      <c r="D87" s="6">
        <f>D86*$E$84/$E$85</f>
        <v>-0.11608100000000013</v>
      </c>
      <c r="E87" s="6">
        <f>E86*$E$84/$E$85</f>
        <v>0.11608100000000013</v>
      </c>
    </row>
    <row r="90" spans="4:5" x14ac:dyDescent="0.25">
      <c r="D90" s="6" t="s">
        <v>37</v>
      </c>
      <c r="E90" s="6" t="s">
        <v>38</v>
      </c>
    </row>
    <row r="91" spans="4:5" x14ac:dyDescent="0.25">
      <c r="D91" s="26">
        <f>SUM(P11:P23)+SUM(X15:X23)</f>
        <v>11408.792500000003</v>
      </c>
      <c r="E91" s="26">
        <f>SUM(P24:P37)+SUM(X24:X33)</f>
        <v>11712.225000000002</v>
      </c>
    </row>
    <row r="92" spans="4:5" x14ac:dyDescent="0.25">
      <c r="E92" s="26">
        <f>D91-E91</f>
        <v>-303.43249999999898</v>
      </c>
    </row>
    <row r="93" spans="4:5" x14ac:dyDescent="0.25">
      <c r="E93" s="19">
        <v>6000</v>
      </c>
    </row>
    <row r="94" spans="4:5" x14ac:dyDescent="0.25">
      <c r="D94" s="6">
        <v>-1</v>
      </c>
      <c r="E94" s="6">
        <v>1</v>
      </c>
    </row>
    <row r="95" spans="4:5" x14ac:dyDescent="0.25">
      <c r="D95" s="6">
        <f>D94*$E$92/$E$93</f>
        <v>5.0572083333333163E-2</v>
      </c>
      <c r="E95" s="6">
        <f>E94*$E$92/$E$93</f>
        <v>-5.0572083333333163E-2</v>
      </c>
    </row>
    <row r="99" spans="4:10" x14ac:dyDescent="0.25">
      <c r="D99" s="19" t="s">
        <v>50</v>
      </c>
      <c r="F99" s="7" t="s">
        <v>51</v>
      </c>
      <c r="G99" s="7" t="s">
        <v>53</v>
      </c>
      <c r="H99" s="7" t="s">
        <v>54</v>
      </c>
      <c r="I99" s="7" t="s">
        <v>52</v>
      </c>
    </row>
    <row r="100" spans="4:10" x14ac:dyDescent="0.25">
      <c r="D100" s="6">
        <f>-1.15/2</f>
        <v>-0.57499999999999996</v>
      </c>
      <c r="E100" s="6">
        <f>1.15/2</f>
        <v>0.57499999999999996</v>
      </c>
      <c r="F100" s="7">
        <f>E100+(0.292*SIN(RADIANS($AC$12)))</f>
        <v>0.57962160959453168</v>
      </c>
      <c r="G100" s="7">
        <f>F100+(0.381*SIN(RADIANS($AC$12-45)))</f>
        <v>0.31451170369063353</v>
      </c>
      <c r="H100" s="7">
        <f>I100+(0.381*SIN(RADIANS($AC$12+45)))</f>
        <v>-0.29674042192955241</v>
      </c>
      <c r="I100" s="7">
        <f>D100+(0.292*SIN(RADIANS($AC$12)))</f>
        <v>-0.57037839040546823</v>
      </c>
      <c r="J100" s="7">
        <f>D100</f>
        <v>-0.57499999999999996</v>
      </c>
    </row>
    <row r="101" spans="4:10" x14ac:dyDescent="0.25">
      <c r="D101" s="6">
        <f>D100*TAN(RADIANS((($AM$9-$AN$9)/6.4)*0.05))*1000</f>
        <v>-9.1019124382718406</v>
      </c>
      <c r="E101" s="39">
        <f>E100*TAN(RADIANS((($AM$9-$AN$9)/6.4)*0.05))*1000</f>
        <v>9.1019124382718406</v>
      </c>
      <c r="F101" s="7">
        <f>E101-(0.292*COS(RADIANS($AC$12)))*1000</f>
        <v>-282.86151116947349</v>
      </c>
      <c r="G101" s="7">
        <f>F101-(0.381*COS(RADIANS($AC$12-45)))*1000</f>
        <v>-556.49947964538933</v>
      </c>
      <c r="H101" s="7">
        <f>I101-(0.381*COS(RADIANS($AC$12+45)))*1000</f>
        <v>-566.17524194991529</v>
      </c>
      <c r="I101" s="7">
        <f>D101-(0.292*COS(RADIANS($AC$12)))*1000</f>
        <v>-301.06533604601714</v>
      </c>
      <c r="J101" s="7">
        <f>D101</f>
        <v>-9.1019124382718406</v>
      </c>
    </row>
    <row r="102" spans="4:10" x14ac:dyDescent="0.25">
      <c r="E102" s="39"/>
    </row>
    <row r="104" spans="4:10" x14ac:dyDescent="0.25">
      <c r="I104" s="7">
        <v>1.5</v>
      </c>
      <c r="J104" s="7" t="s">
        <v>59</v>
      </c>
    </row>
    <row r="105" spans="4:10" x14ac:dyDescent="0.25">
      <c r="F105" s="7" t="s">
        <v>58</v>
      </c>
      <c r="G105" s="7" t="s">
        <v>57</v>
      </c>
    </row>
    <row r="106" spans="4:10" x14ac:dyDescent="0.25">
      <c r="D106" s="6">
        <v>-4.1500000000000004</v>
      </c>
      <c r="E106" s="6">
        <v>4.2300000000000004</v>
      </c>
      <c r="F106" s="7">
        <f>E106-2.5*(COS(RADIANS($I$104+$AC$36)))</f>
        <v>1.7309054991567168</v>
      </c>
      <c r="G106" s="7">
        <f>D106+2.5*(COS(RADIANS($I$104+$AC$36)))</f>
        <v>-1.6509054991567167</v>
      </c>
      <c r="H106" s="7">
        <f>D106</f>
        <v>-4.1500000000000004</v>
      </c>
    </row>
    <row r="107" spans="4:10" x14ac:dyDescent="0.25">
      <c r="D107" s="6">
        <f>D106*TAN(RADIANS((($AB$28-$AC$28)/144)*0.02))*1000</f>
        <v>-3.0524962668233009</v>
      </c>
      <c r="E107" s="6">
        <f>E106*TAN(RADIANS((($AB$28-$AC$28)/144)*0.02))*1000</f>
        <v>3.1113395683524248</v>
      </c>
      <c r="F107" s="7">
        <f>E107-2.5*(SIN(RADIANS($I$104+$AC$36)))*1000</f>
        <v>-64.169236044961352</v>
      </c>
      <c r="G107" s="7">
        <f>D107-2.5*(SIN(RADIANS($I$104-$AC$36)))*1000</f>
        <v>-66.656626787195492</v>
      </c>
      <c r="H107" s="7">
        <f>D107</f>
        <v>-3.0524962668233009</v>
      </c>
    </row>
  </sheetData>
  <sheetProtection selectLockedCells="1"/>
  <sortState xmlns:xlrd2="http://schemas.microsoft.com/office/spreadsheetml/2017/richdata2" ref="B4:E32">
    <sortCondition ref="B4"/>
  </sortState>
  <mergeCells count="12">
    <mergeCell ref="Y8:Y10"/>
    <mergeCell ref="X8:X10"/>
    <mergeCell ref="W8:W10"/>
    <mergeCell ref="S11:U11"/>
    <mergeCell ref="S37:U37"/>
    <mergeCell ref="C1:D1"/>
    <mergeCell ref="D67:E67"/>
    <mergeCell ref="O8:O10"/>
    <mergeCell ref="P8:P10"/>
    <mergeCell ref="Q8:Q10"/>
    <mergeCell ref="C2:C3"/>
    <mergeCell ref="F2:G2"/>
  </mergeCells>
  <conditionalFormatting sqref="B52:C53">
    <cfRule type="expression" dxfId="65" priority="4700">
      <formula>OR($F52&lt;&gt;"",$G52&lt;&gt;"",$H52&lt;&gt;"",$I52&lt;&gt;"")</formula>
    </cfRule>
  </conditionalFormatting>
  <conditionalFormatting sqref="F29:F43">
    <cfRule type="expression" dxfId="64" priority="4710">
      <formula>INDEX($D$69:$D$78,MATCH($F29,$B$69:$B$78,0))&gt;1</formula>
    </cfRule>
  </conditionalFormatting>
  <conditionalFormatting sqref="G37:G43">
    <cfRule type="expression" dxfId="63" priority="4712">
      <formula>INDEX($E$69:$E$78,MATCH($G37,$B$69:$B$78,0))&gt;1</formula>
    </cfRule>
  </conditionalFormatting>
  <conditionalFormatting sqref="F42:G43 F29:G40 F4:G26">
    <cfRule type="expression" dxfId="62" priority="4678">
      <formula>AND($F4=$G4,$AK4&lt;&gt;1)</formula>
    </cfRule>
  </conditionalFormatting>
  <conditionalFormatting sqref="G41">
    <cfRule type="expression" dxfId="61" priority="4719">
      <formula>AND($F23=$G41,$AK23&lt;&gt;1)</formula>
    </cfRule>
  </conditionalFormatting>
  <conditionalFormatting sqref="F41">
    <cfRule type="expression" dxfId="60" priority="4720">
      <formula>AND($F41=#REF!,$AK41&lt;&gt;1)</formula>
    </cfRule>
  </conditionalFormatting>
  <conditionalFormatting sqref="G29:G36">
    <cfRule type="expression" dxfId="59" priority="4676">
      <formula>INDEX($E$69:$E$78,MATCH($G29,$B$69:$B$78,0))&gt;1</formula>
    </cfRule>
  </conditionalFormatting>
  <conditionalFormatting sqref="F36">
    <cfRule type="expression" dxfId="58" priority="4670">
      <formula>INDEX($D$69:$D$78,MATCH($F36,$B$69:$B$78,0))&gt;1</formula>
    </cfRule>
  </conditionalFormatting>
  <conditionalFormatting sqref="G36">
    <cfRule type="expression" dxfId="57" priority="4667">
      <formula>INDEX($E$69:$E$78,MATCH($G36,$B$69:$B$78,0))&gt;1</formula>
    </cfRule>
  </conditionalFormatting>
  <conditionalFormatting sqref="R15 T34 V15 R23 R17 R19 R21 R25 R27 R29 R31 R33 V17 V19 V21 V25 V23 V27 V29 V31 V33">
    <cfRule type="containsText" dxfId="56" priority="4663" operator="containsText" text="tbd">
      <formula>NOT(ISERROR(SEARCH("tbd",R15)))</formula>
    </cfRule>
  </conditionalFormatting>
  <conditionalFormatting sqref="S37 S11">
    <cfRule type="containsText" dxfId="55" priority="4662" operator="containsText" text="tbd">
      <formula>NOT(ISERROR(SEARCH("tbd",S11)))</formula>
    </cfRule>
  </conditionalFormatting>
  <conditionalFormatting sqref="F4:F26">
    <cfRule type="expression" dxfId="54" priority="4660">
      <formula>INDEX($D$69:$D$78,MATCH($F4,$B$69:$B$78,0))&gt;1</formula>
    </cfRule>
  </conditionalFormatting>
  <conditionalFormatting sqref="G4:G26">
    <cfRule type="expression" dxfId="53" priority="4657">
      <formula>INDEX($E$69:$E$78,MATCH($G4,$B$69:$B$78,0))&gt;1</formula>
    </cfRule>
  </conditionalFormatting>
  <conditionalFormatting sqref="F25:F29">
    <cfRule type="expression" dxfId="52" priority="4656">
      <formula>INDEX($D$69:$D$78,MATCH($F25,$B$69:$B$78,0))&gt;1</formula>
    </cfRule>
  </conditionalFormatting>
  <conditionalFormatting sqref="F25:G29">
    <cfRule type="expression" dxfId="51" priority="4654">
      <formula>AND($F25=$G25,$AK25&lt;&gt;1)</formula>
    </cfRule>
  </conditionalFormatting>
  <conditionalFormatting sqref="G25:G29">
    <cfRule type="expression" dxfId="50" priority="4653">
      <formula>INDEX($E$69:$E$78,MATCH($G25,$B$69:$B$78,0))&gt;1</formula>
    </cfRule>
  </conditionalFormatting>
  <conditionalFormatting sqref="I4:I43">
    <cfRule type="expression" dxfId="49" priority="4650">
      <formula>AND($I$1&gt;1,I4&lt;&gt;"")</formula>
    </cfRule>
  </conditionalFormatting>
  <conditionalFormatting sqref="H4:H43">
    <cfRule type="expression" dxfId="48" priority="4649">
      <formula>AND($H$1&gt;1,$H4&lt;&gt;"")</formula>
    </cfRule>
  </conditionalFormatting>
  <conditionalFormatting sqref="B4:B43">
    <cfRule type="expression" dxfId="47" priority="3">
      <formula>OR($F4&lt;&gt;"",$G4&lt;&gt;"",$H4&lt;&gt;"",$I4&lt;&gt;"")</formula>
    </cfRule>
    <cfRule type="expression" dxfId="46" priority="53">
      <formula>AND($B4&lt;&gt;"",$F4="",$G4="",$H4="",$I4="")</formula>
    </cfRule>
  </conditionalFormatting>
  <conditionalFormatting sqref="S15">
    <cfRule type="containsText" dxfId="45" priority="44" operator="containsText" text="f">
      <formula>NOT(ISERROR(SEARCH("f",S15)))</formula>
    </cfRule>
  </conditionalFormatting>
  <conditionalFormatting sqref="S17">
    <cfRule type="containsText" dxfId="44" priority="43" operator="containsText" text="f">
      <formula>NOT(ISERROR(SEARCH("f",S17)))</formula>
    </cfRule>
  </conditionalFormatting>
  <conditionalFormatting sqref="S19">
    <cfRule type="containsText" dxfId="43" priority="42" operator="containsText" text="f">
      <formula>NOT(ISERROR(SEARCH("f",S19)))</formula>
    </cfRule>
  </conditionalFormatting>
  <conditionalFormatting sqref="S21">
    <cfRule type="containsText" dxfId="42" priority="41" operator="containsText" text="f">
      <formula>NOT(ISERROR(SEARCH("f",S21)))</formula>
    </cfRule>
  </conditionalFormatting>
  <conditionalFormatting sqref="S23">
    <cfRule type="containsText" dxfId="41" priority="40" operator="containsText" text="f">
      <formula>NOT(ISERROR(SEARCH("f",S23)))</formula>
    </cfRule>
  </conditionalFormatting>
  <conditionalFormatting sqref="S25">
    <cfRule type="containsText" dxfId="40" priority="39" operator="containsText" text="f">
      <formula>NOT(ISERROR(SEARCH("f",S25)))</formula>
    </cfRule>
  </conditionalFormatting>
  <conditionalFormatting sqref="S27">
    <cfRule type="containsText" dxfId="39" priority="38" operator="containsText" text="f">
      <formula>NOT(ISERROR(SEARCH("f",S27)))</formula>
    </cfRule>
  </conditionalFormatting>
  <conditionalFormatting sqref="S29">
    <cfRule type="containsText" dxfId="38" priority="37" operator="containsText" text="f">
      <formula>NOT(ISERROR(SEARCH("f",S29)))</formula>
    </cfRule>
  </conditionalFormatting>
  <conditionalFormatting sqref="S31">
    <cfRule type="containsText" dxfId="37" priority="36" operator="containsText" text="f">
      <formula>NOT(ISERROR(SEARCH("f",S31)))</formula>
    </cfRule>
  </conditionalFormatting>
  <conditionalFormatting sqref="S33">
    <cfRule type="containsText" dxfId="36" priority="35" operator="containsText" text="f">
      <formula>NOT(ISERROR(SEARCH("f",S33)))</formula>
    </cfRule>
  </conditionalFormatting>
  <conditionalFormatting sqref="U15">
    <cfRule type="containsText" dxfId="35" priority="34" operator="containsText" text="f">
      <formula>NOT(ISERROR(SEARCH("f",U15)))</formula>
    </cfRule>
  </conditionalFormatting>
  <conditionalFormatting sqref="U17">
    <cfRule type="containsText" dxfId="34" priority="33" operator="containsText" text="f">
      <formula>NOT(ISERROR(SEARCH("f",U17)))</formula>
    </cfRule>
  </conditionalFormatting>
  <conditionalFormatting sqref="U19">
    <cfRule type="containsText" dxfId="33" priority="32" operator="containsText" text="f">
      <formula>NOT(ISERROR(SEARCH("f",U19)))</formula>
    </cfRule>
  </conditionalFormatting>
  <conditionalFormatting sqref="U21">
    <cfRule type="containsText" dxfId="32" priority="31" operator="containsText" text="f">
      <formula>NOT(ISERROR(SEARCH("f",U21)))</formula>
    </cfRule>
  </conditionalFormatting>
  <conditionalFormatting sqref="U23">
    <cfRule type="containsText" dxfId="31" priority="30" operator="containsText" text="f">
      <formula>NOT(ISERROR(SEARCH("f",U23)))</formula>
    </cfRule>
  </conditionalFormatting>
  <conditionalFormatting sqref="U25">
    <cfRule type="containsText" dxfId="30" priority="29" operator="containsText" text="f">
      <formula>NOT(ISERROR(SEARCH("f",U25)))</formula>
    </cfRule>
  </conditionalFormatting>
  <conditionalFormatting sqref="U27">
    <cfRule type="containsText" dxfId="29" priority="28" operator="containsText" text="f">
      <formula>NOT(ISERROR(SEARCH("f",U27)))</formula>
    </cfRule>
  </conditionalFormatting>
  <conditionalFormatting sqref="U29">
    <cfRule type="containsText" dxfId="28" priority="27" operator="containsText" text="f">
      <formula>NOT(ISERROR(SEARCH("f",U29)))</formula>
    </cfRule>
  </conditionalFormatting>
  <conditionalFormatting sqref="U31">
    <cfRule type="containsText" dxfId="27" priority="26" operator="containsText" text="f">
      <formula>NOT(ISERROR(SEARCH("f",U31)))</formula>
    </cfRule>
  </conditionalFormatting>
  <conditionalFormatting sqref="U33">
    <cfRule type="containsText" dxfId="26" priority="25" operator="containsText" text="f">
      <formula>NOT(ISERROR(SEARCH("f",U33)))</formula>
    </cfRule>
  </conditionalFormatting>
  <conditionalFormatting sqref="C4:C43">
    <cfRule type="containsText" dxfId="25" priority="24" operator="containsText" text="F">
      <formula>NOT(ISERROR(SEARCH("F",C4)))</formula>
    </cfRule>
  </conditionalFormatting>
  <conditionalFormatting sqref="E4:E43">
    <cfRule type="cellIs" dxfId="24" priority="23" operator="equal">
      <formula>0</formula>
    </cfRule>
  </conditionalFormatting>
  <conditionalFormatting sqref="R15">
    <cfRule type="expression" dxfId="23" priority="22">
      <formula>S15="f"</formula>
    </cfRule>
  </conditionalFormatting>
  <conditionalFormatting sqref="R17">
    <cfRule type="expression" dxfId="22" priority="21">
      <formula>S17="f"</formula>
    </cfRule>
  </conditionalFormatting>
  <conditionalFormatting sqref="R19">
    <cfRule type="expression" dxfId="21" priority="20">
      <formula>S19="f"</formula>
    </cfRule>
  </conditionalFormatting>
  <conditionalFormatting sqref="R21">
    <cfRule type="expression" dxfId="20" priority="19">
      <formula>S21="f"</formula>
    </cfRule>
  </conditionalFormatting>
  <conditionalFormatting sqref="R25">
    <cfRule type="expression" dxfId="19" priority="18">
      <formula>S25="f"</formula>
    </cfRule>
  </conditionalFormatting>
  <conditionalFormatting sqref="R27">
    <cfRule type="expression" dxfId="18" priority="17">
      <formula>S27="f"</formula>
    </cfRule>
  </conditionalFormatting>
  <conditionalFormatting sqref="R29">
    <cfRule type="expression" dxfId="17" priority="16">
      <formula>S29="f"</formula>
    </cfRule>
  </conditionalFormatting>
  <conditionalFormatting sqref="R31">
    <cfRule type="expression" dxfId="16" priority="15">
      <formula>S31="f"</formula>
    </cfRule>
  </conditionalFormatting>
  <conditionalFormatting sqref="R33">
    <cfRule type="expression" dxfId="15" priority="14">
      <formula>S33="f"</formula>
    </cfRule>
  </conditionalFormatting>
  <conditionalFormatting sqref="V15">
    <cfRule type="expression" dxfId="14" priority="13">
      <formula>U15="f"</formula>
    </cfRule>
  </conditionalFormatting>
  <conditionalFormatting sqref="V17">
    <cfRule type="expression" dxfId="13" priority="12">
      <formula>U17="f"</formula>
    </cfRule>
  </conditionalFormatting>
  <conditionalFormatting sqref="V19">
    <cfRule type="expression" dxfId="12" priority="11">
      <formula>U19="f"</formula>
    </cfRule>
  </conditionalFormatting>
  <conditionalFormatting sqref="V21">
    <cfRule type="expression" dxfId="11" priority="10">
      <formula>U21="f"</formula>
    </cfRule>
  </conditionalFormatting>
  <conditionalFormatting sqref="V25">
    <cfRule type="expression" dxfId="10" priority="9">
      <formula>U25="f"</formula>
    </cfRule>
  </conditionalFormatting>
  <conditionalFormatting sqref="V23">
    <cfRule type="expression" dxfId="9" priority="8">
      <formula>U23="f"</formula>
    </cfRule>
  </conditionalFormatting>
  <conditionalFormatting sqref="V27">
    <cfRule type="expression" dxfId="8" priority="7">
      <formula>U27="f"</formula>
    </cfRule>
  </conditionalFormatting>
  <conditionalFormatting sqref="V29">
    <cfRule type="expression" dxfId="7" priority="6">
      <formula>U29="f"</formula>
    </cfRule>
  </conditionalFormatting>
  <conditionalFormatting sqref="V31">
    <cfRule type="expression" dxfId="6" priority="5">
      <formula>U31="f"</formula>
    </cfRule>
  </conditionalFormatting>
  <conditionalFormatting sqref="V33">
    <cfRule type="expression" dxfId="5" priority="4">
      <formula>U33="f"</formula>
    </cfRule>
  </conditionalFormatting>
  <conditionalFormatting sqref="D4:D43">
    <cfRule type="cellIs" dxfId="4" priority="2" operator="equal">
      <formula>0</formula>
    </cfRule>
  </conditionalFormatting>
  <conditionalFormatting sqref="A4:A29">
    <cfRule type="expression" dxfId="3" priority="1">
      <formula>B4&lt;&gt;""</formula>
    </cfRule>
  </conditionalFormatting>
  <pageMargins left="0.7" right="0.7" top="0.75" bottom="0.75" header="0.3" footer="0.3"/>
  <pageSetup paperSize="9" scale="55" orientation="landscape"/>
  <ignoredErrors>
    <ignoredError sqref="U15 S17 U17 S19 U19 S21 U21 S23 U23 S25 U25 S27 U27 S29 U29 S31 U31 S33 U33 S15" evalError="1"/>
  </ignoredErrors>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BF84-00C2-0F4D-B87C-E37EFBF40879}">
  <sheetPr codeName="Sheet2"/>
  <dimension ref="A1:V35"/>
  <sheetViews>
    <sheetView workbookViewId="0">
      <pane xSplit="2" ySplit="1" topLeftCell="C2" activePane="bottomRight" state="frozen"/>
      <selection activeCell="M3" sqref="M3"/>
      <selection pane="topRight" activeCell="E1" sqref="E1"/>
      <selection pane="bottomLeft" activeCell="A2" sqref="A2"/>
      <selection pane="bottomRight" activeCell="A29" sqref="A29"/>
    </sheetView>
  </sheetViews>
  <sheetFormatPr defaultColWidth="10.85546875" defaultRowHeight="15" x14ac:dyDescent="0.25"/>
  <cols>
    <col min="1" max="1" width="4.28515625" style="4" customWidth="1"/>
    <col min="2" max="2" width="20.42578125" customWidth="1"/>
    <col min="3" max="3" width="12.140625" bestFit="1" customWidth="1"/>
    <col min="4" max="4" width="6.7109375" customWidth="1"/>
    <col min="5" max="5" width="4.42578125" customWidth="1"/>
    <col min="6" max="6" width="6.7109375" bestFit="1" customWidth="1"/>
    <col min="7" max="7" width="6.85546875" style="68" bestFit="1" customWidth="1"/>
    <col min="8" max="8" width="12.140625" customWidth="1"/>
    <col min="9" max="9" width="13.85546875" customWidth="1"/>
    <col min="10" max="10" width="6.85546875" bestFit="1" customWidth="1"/>
    <col min="12" max="12" width="10.85546875" style="2"/>
  </cols>
  <sheetData>
    <row r="1" spans="1:22" x14ac:dyDescent="0.25">
      <c r="A1" s="4" t="s">
        <v>31</v>
      </c>
      <c r="B1" t="s">
        <v>67</v>
      </c>
      <c r="C1" t="s">
        <v>70</v>
      </c>
      <c r="D1" t="s">
        <v>66</v>
      </c>
      <c r="E1" t="s">
        <v>68</v>
      </c>
      <c r="F1" t="s">
        <v>69</v>
      </c>
      <c r="G1" s="68" t="s">
        <v>79</v>
      </c>
      <c r="H1" t="s">
        <v>74</v>
      </c>
      <c r="I1" t="s">
        <v>75</v>
      </c>
      <c r="J1" t="s">
        <v>78</v>
      </c>
      <c r="L1" s="2" t="s">
        <v>73</v>
      </c>
      <c r="N1">
        <f>COUNTA(A2:A46)</f>
        <v>19</v>
      </c>
    </row>
    <row r="2" spans="1:22" x14ac:dyDescent="0.25">
      <c r="A2" s="5" t="s">
        <v>139</v>
      </c>
      <c r="B2" s="76" t="s">
        <v>109</v>
      </c>
      <c r="C2" t="str">
        <f t="shared" ref="C2:C32" si="0">V2</f>
        <v>1 A *R</v>
      </c>
      <c r="D2" t="s">
        <v>64</v>
      </c>
      <c r="E2" t="s">
        <v>72</v>
      </c>
      <c r="F2">
        <v>73</v>
      </c>
      <c r="H2" t="s">
        <v>85</v>
      </c>
      <c r="J2">
        <v>1234</v>
      </c>
      <c r="L2" s="2">
        <v>43725</v>
      </c>
      <c r="S2" t="str">
        <f t="shared" ref="S2:S33" si="1">LEFT(B2,FIND(" ",B2,1)-1)</f>
        <v>1</v>
      </c>
      <c r="T2" t="str">
        <f t="shared" ref="T2:T33" si="2">RIGHT(B2,LEN(B2)-FIND(" ",B2,1))</f>
        <v>A</v>
      </c>
      <c r="U2" t="str">
        <f>LEFT(T2,1)</f>
        <v>A</v>
      </c>
      <c r="V2" t="str">
        <f t="shared" ref="V2:V33" si="3">IF(AND(E2&lt;&gt;"RR",E2&lt;&gt;"LF"),CONCATENATE(S2," ",U2," ",E2),CONCATENATE(S2," ",U2))</f>
        <v>1 A *R</v>
      </c>
    </row>
    <row r="3" spans="1:22" x14ac:dyDescent="0.25">
      <c r="A3" s="4" t="s">
        <v>62</v>
      </c>
      <c r="B3" s="76" t="s">
        <v>110</v>
      </c>
      <c r="C3" t="str">
        <f t="shared" si="0"/>
        <v>2 A **</v>
      </c>
      <c r="D3" t="s">
        <v>64</v>
      </c>
      <c r="E3" t="s">
        <v>94</v>
      </c>
      <c r="F3">
        <v>97</v>
      </c>
      <c r="H3" t="s">
        <v>76</v>
      </c>
      <c r="J3">
        <v>1235</v>
      </c>
      <c r="S3" t="str">
        <f t="shared" si="1"/>
        <v>2</v>
      </c>
      <c r="T3" t="str">
        <f t="shared" si="2"/>
        <v>A</v>
      </c>
      <c r="U3" t="str">
        <f t="shared" ref="U3:U31" si="4">LEFT(T3,1)</f>
        <v>A</v>
      </c>
      <c r="V3" t="str">
        <f t="shared" si="3"/>
        <v>2 A **</v>
      </c>
    </row>
    <row r="4" spans="1:22" x14ac:dyDescent="0.25">
      <c r="A4" s="4" t="s">
        <v>62</v>
      </c>
      <c r="B4" s="76" t="s">
        <v>111</v>
      </c>
      <c r="C4" t="str">
        <f t="shared" si="0"/>
        <v>3 A **</v>
      </c>
      <c r="D4" t="s">
        <v>64</v>
      </c>
      <c r="E4" t="s">
        <v>94</v>
      </c>
      <c r="F4">
        <v>77</v>
      </c>
      <c r="H4" t="s">
        <v>76</v>
      </c>
      <c r="J4">
        <v>1236</v>
      </c>
      <c r="L4" s="2">
        <v>43725</v>
      </c>
      <c r="S4" t="str">
        <f t="shared" si="1"/>
        <v>3</v>
      </c>
      <c r="T4" t="str">
        <f t="shared" si="2"/>
        <v>A</v>
      </c>
      <c r="U4" t="str">
        <f t="shared" si="4"/>
        <v>A</v>
      </c>
      <c r="V4" t="str">
        <f t="shared" si="3"/>
        <v>3 A **</v>
      </c>
    </row>
    <row r="5" spans="1:22" x14ac:dyDescent="0.25">
      <c r="A5" s="5" t="s">
        <v>139</v>
      </c>
      <c r="B5" s="76" t="s">
        <v>112</v>
      </c>
      <c r="C5" t="str">
        <f t="shared" si="0"/>
        <v>4 A</v>
      </c>
      <c r="D5" t="s">
        <v>64</v>
      </c>
      <c r="E5" t="s">
        <v>18</v>
      </c>
      <c r="F5">
        <v>95</v>
      </c>
      <c r="H5" t="s">
        <v>76</v>
      </c>
      <c r="J5">
        <v>1237</v>
      </c>
      <c r="L5" s="2">
        <v>44361</v>
      </c>
      <c r="S5" t="str">
        <f t="shared" si="1"/>
        <v>4</v>
      </c>
      <c r="T5" t="str">
        <f t="shared" si="2"/>
        <v>A</v>
      </c>
      <c r="U5" t="str">
        <f t="shared" si="4"/>
        <v>A</v>
      </c>
      <c r="V5" t="str">
        <f t="shared" si="3"/>
        <v>4 A</v>
      </c>
    </row>
    <row r="6" spans="1:22" x14ac:dyDescent="0.25">
      <c r="A6" s="5" t="s">
        <v>62</v>
      </c>
      <c r="B6" s="76" t="s">
        <v>113</v>
      </c>
      <c r="C6" t="str">
        <f t="shared" si="0"/>
        <v>5 A **</v>
      </c>
      <c r="D6" t="s">
        <v>64</v>
      </c>
      <c r="E6" t="s">
        <v>94</v>
      </c>
      <c r="F6">
        <v>80</v>
      </c>
      <c r="H6" t="s">
        <v>76</v>
      </c>
      <c r="J6">
        <v>1238</v>
      </c>
      <c r="L6" s="2">
        <v>44333</v>
      </c>
      <c r="S6" t="str">
        <f t="shared" si="1"/>
        <v>5</v>
      </c>
      <c r="T6" t="str">
        <f t="shared" si="2"/>
        <v>A</v>
      </c>
      <c r="U6" t="str">
        <f t="shared" si="4"/>
        <v>A</v>
      </c>
      <c r="V6" t="str">
        <f t="shared" si="3"/>
        <v>5 A **</v>
      </c>
    </row>
    <row r="7" spans="1:22" x14ac:dyDescent="0.25">
      <c r="A7" s="5" t="s">
        <v>62</v>
      </c>
      <c r="B7" s="76" t="s">
        <v>114</v>
      </c>
      <c r="C7" t="str">
        <f t="shared" si="0"/>
        <v>6 A **</v>
      </c>
      <c r="D7" t="s">
        <v>64</v>
      </c>
      <c r="E7" t="s">
        <v>94</v>
      </c>
      <c r="F7">
        <v>54</v>
      </c>
      <c r="H7" t="s">
        <v>76</v>
      </c>
      <c r="J7">
        <v>1239</v>
      </c>
      <c r="L7" s="2">
        <v>44333</v>
      </c>
      <c r="S7" t="str">
        <f t="shared" si="1"/>
        <v>6</v>
      </c>
      <c r="T7" t="str">
        <f t="shared" si="2"/>
        <v>A</v>
      </c>
      <c r="U7" t="str">
        <f t="shared" si="4"/>
        <v>A</v>
      </c>
      <c r="V7" t="str">
        <f t="shared" si="3"/>
        <v>6 A **</v>
      </c>
    </row>
    <row r="8" spans="1:22" x14ac:dyDescent="0.25">
      <c r="A8" s="4" t="s">
        <v>62</v>
      </c>
      <c r="B8" s="76" t="s">
        <v>115</v>
      </c>
      <c r="C8" t="str">
        <f t="shared" si="0"/>
        <v>7 A **</v>
      </c>
      <c r="D8" t="s">
        <v>64</v>
      </c>
      <c r="E8" t="s">
        <v>94</v>
      </c>
      <c r="F8">
        <v>95</v>
      </c>
      <c r="H8" t="s">
        <v>76</v>
      </c>
      <c r="J8">
        <v>1240</v>
      </c>
      <c r="L8" s="2">
        <v>43417</v>
      </c>
      <c r="S8" t="str">
        <f t="shared" si="1"/>
        <v>7</v>
      </c>
      <c r="T8" t="str">
        <f t="shared" si="2"/>
        <v>A</v>
      </c>
      <c r="U8" t="str">
        <f t="shared" si="4"/>
        <v>A</v>
      </c>
      <c r="V8" t="str">
        <f t="shared" si="3"/>
        <v>7 A **</v>
      </c>
    </row>
    <row r="9" spans="1:22" x14ac:dyDescent="0.25">
      <c r="A9" s="4" t="s">
        <v>139</v>
      </c>
      <c r="B9" s="76" t="s">
        <v>116</v>
      </c>
      <c r="C9" t="str">
        <f t="shared" si="0"/>
        <v>8 A</v>
      </c>
      <c r="D9" t="s">
        <v>64</v>
      </c>
      <c r="E9" t="s">
        <v>17</v>
      </c>
      <c r="F9">
        <v>95</v>
      </c>
      <c r="H9" t="s">
        <v>77</v>
      </c>
      <c r="I9" t="s">
        <v>76</v>
      </c>
      <c r="J9">
        <v>1241</v>
      </c>
      <c r="L9" s="2">
        <v>43267</v>
      </c>
      <c r="S9" t="str">
        <f t="shared" si="1"/>
        <v>8</v>
      </c>
      <c r="T9" t="str">
        <f t="shared" si="2"/>
        <v>A</v>
      </c>
      <c r="U9" t="str">
        <f t="shared" si="4"/>
        <v>A</v>
      </c>
      <c r="V9" t="str">
        <f t="shared" si="3"/>
        <v>8 A</v>
      </c>
    </row>
    <row r="10" spans="1:22" x14ac:dyDescent="0.25">
      <c r="A10" s="5" t="s">
        <v>62</v>
      </c>
      <c r="B10" s="76" t="s">
        <v>117</v>
      </c>
      <c r="C10" t="str">
        <f t="shared" si="0"/>
        <v>9 A **</v>
      </c>
      <c r="D10" t="s">
        <v>64</v>
      </c>
      <c r="E10" t="s">
        <v>94</v>
      </c>
      <c r="F10">
        <v>101</v>
      </c>
      <c r="H10" t="s">
        <v>76</v>
      </c>
      <c r="J10">
        <v>1242</v>
      </c>
      <c r="L10" s="2">
        <v>43725</v>
      </c>
      <c r="S10" t="str">
        <f t="shared" si="1"/>
        <v>9</v>
      </c>
      <c r="T10" t="str">
        <f t="shared" si="2"/>
        <v>A</v>
      </c>
      <c r="U10" t="str">
        <f t="shared" si="4"/>
        <v>A</v>
      </c>
      <c r="V10" t="str">
        <f t="shared" si="3"/>
        <v>9 A **</v>
      </c>
    </row>
    <row r="11" spans="1:22" x14ac:dyDescent="0.25">
      <c r="A11" s="4" t="s">
        <v>62</v>
      </c>
      <c r="B11" s="76" t="s">
        <v>118</v>
      </c>
      <c r="C11" t="str">
        <f t="shared" si="0"/>
        <v>10 A **</v>
      </c>
      <c r="D11" t="s">
        <v>64</v>
      </c>
      <c r="E11" t="s">
        <v>94</v>
      </c>
      <c r="F11">
        <v>92</v>
      </c>
      <c r="H11" t="s">
        <v>76</v>
      </c>
      <c r="J11">
        <v>1243</v>
      </c>
      <c r="L11" s="2">
        <v>43725</v>
      </c>
      <c r="S11" t="str">
        <f t="shared" si="1"/>
        <v>10</v>
      </c>
      <c r="T11" t="str">
        <f t="shared" si="2"/>
        <v>A</v>
      </c>
      <c r="U11" t="str">
        <f t="shared" si="4"/>
        <v>A</v>
      </c>
      <c r="V11" t="str">
        <f t="shared" si="3"/>
        <v>10 A **</v>
      </c>
    </row>
    <row r="12" spans="1:22" x14ac:dyDescent="0.25">
      <c r="A12" s="4" t="s">
        <v>139</v>
      </c>
      <c r="B12" s="76" t="s">
        <v>119</v>
      </c>
      <c r="C12" t="str">
        <f t="shared" si="0"/>
        <v>11 A *L</v>
      </c>
      <c r="D12" t="s">
        <v>65</v>
      </c>
      <c r="E12" t="s">
        <v>71</v>
      </c>
      <c r="F12">
        <v>63</v>
      </c>
      <c r="H12" t="s">
        <v>76</v>
      </c>
      <c r="J12">
        <v>1244</v>
      </c>
      <c r="L12" s="2">
        <v>43600</v>
      </c>
      <c r="S12" t="str">
        <f t="shared" si="1"/>
        <v>11</v>
      </c>
      <c r="T12" t="str">
        <f t="shared" si="2"/>
        <v>A</v>
      </c>
      <c r="U12" t="str">
        <f t="shared" si="4"/>
        <v>A</v>
      </c>
      <c r="V12" t="str">
        <f t="shared" si="3"/>
        <v>11 A *L</v>
      </c>
    </row>
    <row r="13" spans="1:22" x14ac:dyDescent="0.25">
      <c r="A13" s="4" t="s">
        <v>139</v>
      </c>
      <c r="B13" s="76" t="s">
        <v>120</v>
      </c>
      <c r="C13" t="str">
        <f t="shared" si="0"/>
        <v>12 A **</v>
      </c>
      <c r="D13" t="s">
        <v>65</v>
      </c>
      <c r="E13" t="s">
        <v>94</v>
      </c>
      <c r="F13">
        <v>61</v>
      </c>
      <c r="H13" t="s">
        <v>76</v>
      </c>
      <c r="J13">
        <v>1245</v>
      </c>
      <c r="L13" s="2">
        <v>43724</v>
      </c>
      <c r="S13" t="str">
        <f t="shared" si="1"/>
        <v>12</v>
      </c>
      <c r="T13" t="str">
        <f t="shared" si="2"/>
        <v>A</v>
      </c>
      <c r="U13" t="str">
        <f t="shared" si="4"/>
        <v>A</v>
      </c>
      <c r="V13" t="str">
        <f t="shared" si="3"/>
        <v>12 A **</v>
      </c>
    </row>
    <row r="14" spans="1:22" x14ac:dyDescent="0.25">
      <c r="A14" s="5" t="s">
        <v>139</v>
      </c>
      <c r="B14" s="76" t="s">
        <v>121</v>
      </c>
      <c r="C14" s="70" t="str">
        <f t="shared" si="0"/>
        <v xml:space="preserve">13 A </v>
      </c>
      <c r="D14" s="70" t="s">
        <v>65</v>
      </c>
      <c r="E14" s="70"/>
      <c r="F14" s="70">
        <v>60</v>
      </c>
      <c r="G14" s="71"/>
      <c r="H14" s="70" t="s">
        <v>77</v>
      </c>
      <c r="I14" s="70"/>
      <c r="J14">
        <v>1246</v>
      </c>
      <c r="K14" s="70"/>
      <c r="S14" t="str">
        <f t="shared" si="1"/>
        <v>13</v>
      </c>
      <c r="T14" t="str">
        <f t="shared" si="2"/>
        <v>A</v>
      </c>
      <c r="U14" t="str">
        <f t="shared" si="4"/>
        <v>A</v>
      </c>
      <c r="V14" t="str">
        <f t="shared" si="3"/>
        <v xml:space="preserve">13 A </v>
      </c>
    </row>
    <row r="15" spans="1:22" x14ac:dyDescent="0.25">
      <c r="A15" s="4" t="s">
        <v>139</v>
      </c>
      <c r="B15" s="76" t="s">
        <v>122</v>
      </c>
      <c r="C15" t="str">
        <f t="shared" si="0"/>
        <v xml:space="preserve">14 A </v>
      </c>
      <c r="D15" t="s">
        <v>64</v>
      </c>
      <c r="F15">
        <v>56</v>
      </c>
      <c r="H15" t="s">
        <v>76</v>
      </c>
      <c r="J15">
        <v>1247</v>
      </c>
      <c r="L15" s="2">
        <v>43216</v>
      </c>
      <c r="S15" t="str">
        <f t="shared" si="1"/>
        <v>14</v>
      </c>
      <c r="T15" t="str">
        <f t="shared" si="2"/>
        <v>A</v>
      </c>
      <c r="U15" t="str">
        <f t="shared" si="4"/>
        <v>A</v>
      </c>
      <c r="V15" t="str">
        <f t="shared" si="3"/>
        <v xml:space="preserve">14 A </v>
      </c>
    </row>
    <row r="16" spans="1:22" x14ac:dyDescent="0.25">
      <c r="A16" s="5" t="s">
        <v>62</v>
      </c>
      <c r="B16" s="76" t="s">
        <v>123</v>
      </c>
      <c r="C16" t="str">
        <f t="shared" si="0"/>
        <v>15 A *L</v>
      </c>
      <c r="D16" t="s">
        <v>65</v>
      </c>
      <c r="E16" t="s">
        <v>71</v>
      </c>
      <c r="F16">
        <v>73</v>
      </c>
      <c r="H16" t="s">
        <v>76</v>
      </c>
      <c r="J16">
        <v>1248</v>
      </c>
      <c r="L16" s="2">
        <v>44335</v>
      </c>
      <c r="S16" t="str">
        <f t="shared" si="1"/>
        <v>15</v>
      </c>
      <c r="T16" t="str">
        <f t="shared" si="2"/>
        <v>A</v>
      </c>
      <c r="U16" t="str">
        <f t="shared" si="4"/>
        <v>A</v>
      </c>
      <c r="V16" t="str">
        <f t="shared" si="3"/>
        <v>15 A *L</v>
      </c>
    </row>
    <row r="17" spans="1:22" x14ac:dyDescent="0.25">
      <c r="A17" s="75" t="s">
        <v>62</v>
      </c>
      <c r="B17" s="76" t="s">
        <v>124</v>
      </c>
      <c r="C17" t="str">
        <f t="shared" si="0"/>
        <v>16 A **</v>
      </c>
      <c r="D17" t="s">
        <v>65</v>
      </c>
      <c r="E17" t="s">
        <v>94</v>
      </c>
      <c r="F17">
        <v>60</v>
      </c>
      <c r="H17" t="s">
        <v>76</v>
      </c>
      <c r="J17">
        <v>1249</v>
      </c>
      <c r="L17" s="2">
        <v>44357</v>
      </c>
      <c r="S17" t="str">
        <f t="shared" si="1"/>
        <v>16</v>
      </c>
      <c r="T17" t="str">
        <f t="shared" si="2"/>
        <v>A</v>
      </c>
      <c r="U17" t="str">
        <f t="shared" si="4"/>
        <v>A</v>
      </c>
      <c r="V17" t="str">
        <f t="shared" si="3"/>
        <v>16 A **</v>
      </c>
    </row>
    <row r="18" spans="1:22" x14ac:dyDescent="0.25">
      <c r="A18" s="5" t="s">
        <v>62</v>
      </c>
      <c r="B18" s="76" t="s">
        <v>125</v>
      </c>
      <c r="C18" t="str">
        <f t="shared" si="0"/>
        <v>17 A **</v>
      </c>
      <c r="D18" t="s">
        <v>65</v>
      </c>
      <c r="E18" t="s">
        <v>94</v>
      </c>
      <c r="F18">
        <v>63</v>
      </c>
      <c r="H18" t="s">
        <v>76</v>
      </c>
      <c r="J18">
        <v>1250</v>
      </c>
      <c r="L18" s="2">
        <v>44333</v>
      </c>
      <c r="S18" t="str">
        <f t="shared" si="1"/>
        <v>17</v>
      </c>
      <c r="T18" t="str">
        <f t="shared" si="2"/>
        <v>A</v>
      </c>
      <c r="U18" t="str">
        <f t="shared" si="4"/>
        <v>A</v>
      </c>
      <c r="V18" t="str">
        <f t="shared" si="3"/>
        <v>17 A **</v>
      </c>
    </row>
    <row r="19" spans="1:22" x14ac:dyDescent="0.25">
      <c r="A19" s="4" t="s">
        <v>62</v>
      </c>
      <c r="B19" s="76" t="s">
        <v>126</v>
      </c>
      <c r="C19" t="str">
        <f t="shared" si="0"/>
        <v>18 A</v>
      </c>
      <c r="D19" t="s">
        <v>65</v>
      </c>
      <c r="E19" t="s">
        <v>18</v>
      </c>
      <c r="F19">
        <v>61</v>
      </c>
      <c r="H19" t="s">
        <v>76</v>
      </c>
      <c r="J19">
        <v>1251</v>
      </c>
      <c r="L19" s="2">
        <v>43724</v>
      </c>
      <c r="S19" t="str">
        <f t="shared" si="1"/>
        <v>18</v>
      </c>
      <c r="T19" t="str">
        <f t="shared" si="2"/>
        <v>A</v>
      </c>
      <c r="U19" t="str">
        <f t="shared" si="4"/>
        <v>A</v>
      </c>
      <c r="V19" t="str">
        <f t="shared" si="3"/>
        <v>18 A</v>
      </c>
    </row>
    <row r="20" spans="1:22" x14ac:dyDescent="0.25">
      <c r="A20" s="4" t="s">
        <v>62</v>
      </c>
      <c r="B20" s="76" t="s">
        <v>127</v>
      </c>
      <c r="C20" t="str">
        <f t="shared" si="0"/>
        <v>19 A **</v>
      </c>
      <c r="D20" t="s">
        <v>64</v>
      </c>
      <c r="E20" t="s">
        <v>94</v>
      </c>
      <c r="F20">
        <v>80</v>
      </c>
      <c r="H20" t="s">
        <v>76</v>
      </c>
      <c r="J20">
        <v>1252</v>
      </c>
      <c r="L20" s="2">
        <v>43404</v>
      </c>
      <c r="S20" t="str">
        <f t="shared" si="1"/>
        <v>19</v>
      </c>
      <c r="T20" t="str">
        <f t="shared" si="2"/>
        <v>A</v>
      </c>
      <c r="U20" t="str">
        <f t="shared" si="4"/>
        <v>A</v>
      </c>
      <c r="V20" t="str">
        <f t="shared" si="3"/>
        <v>19 A **</v>
      </c>
    </row>
    <row r="21" spans="1:22" x14ac:dyDescent="0.25">
      <c r="B21" s="76" t="s">
        <v>128</v>
      </c>
      <c r="C21" t="str">
        <f t="shared" si="0"/>
        <v xml:space="preserve">20 A </v>
      </c>
      <c r="D21" t="s">
        <v>65</v>
      </c>
      <c r="F21">
        <v>52</v>
      </c>
      <c r="H21" t="s">
        <v>76</v>
      </c>
      <c r="J21">
        <v>1253</v>
      </c>
      <c r="L21" s="2">
        <v>43215</v>
      </c>
      <c r="S21" t="str">
        <f t="shared" si="1"/>
        <v>20</v>
      </c>
      <c r="T21" t="str">
        <f t="shared" si="2"/>
        <v>A</v>
      </c>
      <c r="U21" t="str">
        <f t="shared" si="4"/>
        <v>A</v>
      </c>
      <c r="V21" t="str">
        <f t="shared" si="3"/>
        <v xml:space="preserve">20 A </v>
      </c>
    </row>
    <row r="22" spans="1:22" x14ac:dyDescent="0.25">
      <c r="A22" s="5"/>
      <c r="B22" s="76" t="s">
        <v>129</v>
      </c>
      <c r="C22" t="str">
        <f t="shared" si="0"/>
        <v xml:space="preserve">21 A </v>
      </c>
      <c r="D22" t="s">
        <v>65</v>
      </c>
      <c r="H22" t="s">
        <v>76</v>
      </c>
      <c r="J22">
        <v>1254</v>
      </c>
      <c r="S22" t="str">
        <f t="shared" si="1"/>
        <v>21</v>
      </c>
      <c r="T22" t="str">
        <f t="shared" si="2"/>
        <v>A</v>
      </c>
      <c r="U22" t="str">
        <f t="shared" si="4"/>
        <v>A</v>
      </c>
      <c r="V22" t="str">
        <f t="shared" si="3"/>
        <v xml:space="preserve">21 A </v>
      </c>
    </row>
    <row r="23" spans="1:22" x14ac:dyDescent="0.25">
      <c r="B23" s="76" t="s">
        <v>130</v>
      </c>
      <c r="C23" t="str">
        <f t="shared" si="0"/>
        <v xml:space="preserve">22 A  </v>
      </c>
      <c r="D23" t="s">
        <v>64</v>
      </c>
      <c r="E23" t="s">
        <v>80</v>
      </c>
      <c r="F23">
        <v>85</v>
      </c>
      <c r="H23" t="s">
        <v>76</v>
      </c>
      <c r="J23">
        <v>1255</v>
      </c>
      <c r="L23" s="2">
        <v>43404</v>
      </c>
      <c r="S23" t="str">
        <f t="shared" si="1"/>
        <v>22</v>
      </c>
      <c r="T23" t="str">
        <f t="shared" si="2"/>
        <v>A</v>
      </c>
      <c r="U23" t="str">
        <f t="shared" si="4"/>
        <v>A</v>
      </c>
      <c r="V23" t="str">
        <f t="shared" si="3"/>
        <v xml:space="preserve">22 A  </v>
      </c>
    </row>
    <row r="24" spans="1:22" x14ac:dyDescent="0.25">
      <c r="A24" s="5"/>
      <c r="B24" s="76" t="s">
        <v>131</v>
      </c>
      <c r="C24" t="str">
        <f t="shared" si="0"/>
        <v>23 A **</v>
      </c>
      <c r="D24" t="s">
        <v>65</v>
      </c>
      <c r="E24" t="s">
        <v>94</v>
      </c>
      <c r="F24">
        <v>57</v>
      </c>
      <c r="H24" t="s">
        <v>76</v>
      </c>
      <c r="J24">
        <v>1256</v>
      </c>
      <c r="L24" s="2">
        <v>44334</v>
      </c>
      <c r="S24" t="str">
        <f t="shared" si="1"/>
        <v>23</v>
      </c>
      <c r="T24" t="str">
        <f t="shared" si="2"/>
        <v>A</v>
      </c>
      <c r="U24" t="str">
        <f t="shared" si="4"/>
        <v>A</v>
      </c>
      <c r="V24" t="str">
        <f t="shared" si="3"/>
        <v>23 A **</v>
      </c>
    </row>
    <row r="25" spans="1:22" x14ac:dyDescent="0.25">
      <c r="A25" s="5"/>
      <c r="B25" s="76" t="s">
        <v>132</v>
      </c>
      <c r="C25" t="str">
        <f t="shared" si="0"/>
        <v>24 A</v>
      </c>
      <c r="D25" t="s">
        <v>65</v>
      </c>
      <c r="E25" t="s">
        <v>18</v>
      </c>
      <c r="F25">
        <v>80</v>
      </c>
      <c r="H25" t="s">
        <v>76</v>
      </c>
      <c r="J25">
        <v>1257</v>
      </c>
      <c r="L25" s="2">
        <v>43753</v>
      </c>
      <c r="S25" t="str">
        <f t="shared" si="1"/>
        <v>24</v>
      </c>
      <c r="T25" t="str">
        <f t="shared" si="2"/>
        <v>A</v>
      </c>
      <c r="U25" t="str">
        <f t="shared" si="4"/>
        <v>A</v>
      </c>
      <c r="V25" t="str">
        <f t="shared" si="3"/>
        <v>24 A</v>
      </c>
    </row>
    <row r="26" spans="1:22" x14ac:dyDescent="0.25">
      <c r="A26" s="5"/>
      <c r="B26" s="76" t="s">
        <v>133</v>
      </c>
      <c r="C26" t="str">
        <f t="shared" si="0"/>
        <v>25 A **</v>
      </c>
      <c r="D26" t="s">
        <v>64</v>
      </c>
      <c r="E26" t="s">
        <v>94</v>
      </c>
      <c r="F26">
        <v>75</v>
      </c>
      <c r="G26" s="68">
        <v>23016</v>
      </c>
      <c r="H26" t="s">
        <v>85</v>
      </c>
      <c r="J26">
        <v>1258</v>
      </c>
      <c r="L26" s="2">
        <v>43724</v>
      </c>
      <c r="S26" t="str">
        <f t="shared" si="1"/>
        <v>25</v>
      </c>
      <c r="T26" t="str">
        <f t="shared" si="2"/>
        <v>A</v>
      </c>
      <c r="U26" t="str">
        <f t="shared" si="4"/>
        <v>A</v>
      </c>
      <c r="V26" t="str">
        <f t="shared" si="3"/>
        <v>25 A **</v>
      </c>
    </row>
    <row r="27" spans="1:22" x14ac:dyDescent="0.25">
      <c r="B27" s="76" t="s">
        <v>134</v>
      </c>
      <c r="C27" t="str">
        <f t="shared" si="0"/>
        <v>26 A *R</v>
      </c>
      <c r="D27" t="s">
        <v>65</v>
      </c>
      <c r="E27" t="s">
        <v>72</v>
      </c>
      <c r="F27">
        <v>53</v>
      </c>
      <c r="H27" t="s">
        <v>76</v>
      </c>
      <c r="J27">
        <v>1259</v>
      </c>
      <c r="L27" s="2">
        <v>44333</v>
      </c>
      <c r="S27" t="str">
        <f t="shared" si="1"/>
        <v>26</v>
      </c>
      <c r="T27" t="str">
        <f t="shared" si="2"/>
        <v>A</v>
      </c>
      <c r="U27" t="str">
        <f t="shared" si="4"/>
        <v>A</v>
      </c>
      <c r="V27" t="str">
        <f t="shared" si="3"/>
        <v>26 A *R</v>
      </c>
    </row>
    <row r="28" spans="1:22" x14ac:dyDescent="0.25">
      <c r="A28" s="5"/>
      <c r="B28" s="76" t="s">
        <v>135</v>
      </c>
      <c r="C28" t="str">
        <f t="shared" si="0"/>
        <v xml:space="preserve">27 A </v>
      </c>
      <c r="D28" t="s">
        <v>65</v>
      </c>
      <c r="F28">
        <v>58</v>
      </c>
      <c r="H28" t="s">
        <v>76</v>
      </c>
      <c r="J28">
        <v>1260</v>
      </c>
      <c r="S28" t="str">
        <f t="shared" si="1"/>
        <v>27</v>
      </c>
      <c r="T28" t="str">
        <f t="shared" si="2"/>
        <v>A</v>
      </c>
      <c r="U28" t="str">
        <f t="shared" si="4"/>
        <v>A</v>
      </c>
      <c r="V28" t="str">
        <f t="shared" si="3"/>
        <v xml:space="preserve">27 A </v>
      </c>
    </row>
    <row r="29" spans="1:22" x14ac:dyDescent="0.25">
      <c r="B29" s="76" t="s">
        <v>136</v>
      </c>
      <c r="C29" t="str">
        <f t="shared" si="0"/>
        <v>28 A **</v>
      </c>
      <c r="D29" t="s">
        <v>65</v>
      </c>
      <c r="E29" t="s">
        <v>94</v>
      </c>
      <c r="F29">
        <v>65</v>
      </c>
      <c r="H29" t="s">
        <v>76</v>
      </c>
      <c r="J29">
        <v>1261</v>
      </c>
      <c r="L29" s="2">
        <v>44335</v>
      </c>
      <c r="S29" t="str">
        <f t="shared" si="1"/>
        <v>28</v>
      </c>
      <c r="T29" t="str">
        <f t="shared" si="2"/>
        <v>A</v>
      </c>
      <c r="U29" t="str">
        <f t="shared" si="4"/>
        <v>A</v>
      </c>
      <c r="V29" t="str">
        <f t="shared" si="3"/>
        <v>28 A **</v>
      </c>
    </row>
    <row r="30" spans="1:22" x14ac:dyDescent="0.25">
      <c r="B30" s="76" t="s">
        <v>137</v>
      </c>
      <c r="C30" t="str">
        <f t="shared" si="0"/>
        <v>29 A</v>
      </c>
      <c r="D30" t="s">
        <v>64</v>
      </c>
      <c r="E30" t="s">
        <v>17</v>
      </c>
      <c r="F30">
        <v>78</v>
      </c>
      <c r="H30" t="s">
        <v>76</v>
      </c>
      <c r="J30">
        <v>1262</v>
      </c>
      <c r="L30" s="2">
        <v>43725</v>
      </c>
      <c r="S30" t="str">
        <f t="shared" si="1"/>
        <v>29</v>
      </c>
      <c r="T30" t="str">
        <f t="shared" si="2"/>
        <v>A</v>
      </c>
      <c r="U30" t="str">
        <f t="shared" si="4"/>
        <v>A</v>
      </c>
      <c r="V30" t="str">
        <f t="shared" si="3"/>
        <v>29 A</v>
      </c>
    </row>
    <row r="31" spans="1:22" x14ac:dyDescent="0.25">
      <c r="A31" s="5"/>
      <c r="B31" s="76" t="s">
        <v>138</v>
      </c>
      <c r="C31" t="str">
        <f t="shared" si="0"/>
        <v>30 A *R</v>
      </c>
      <c r="D31" t="s">
        <v>65</v>
      </c>
      <c r="E31" t="s">
        <v>72</v>
      </c>
      <c r="F31">
        <v>74</v>
      </c>
      <c r="H31" t="s">
        <v>76</v>
      </c>
      <c r="I31" t="s">
        <v>88</v>
      </c>
      <c r="J31">
        <v>1263</v>
      </c>
      <c r="L31" s="2">
        <v>44357</v>
      </c>
      <c r="S31" t="str">
        <f t="shared" si="1"/>
        <v>30</v>
      </c>
      <c r="T31" t="str">
        <f t="shared" si="2"/>
        <v>A</v>
      </c>
      <c r="U31" t="str">
        <f t="shared" si="4"/>
        <v>A</v>
      </c>
      <c r="V31" t="str">
        <f t="shared" si="3"/>
        <v>30 A *R</v>
      </c>
    </row>
    <row r="32" spans="1:22" x14ac:dyDescent="0.25">
      <c r="B32" t="s">
        <v>108</v>
      </c>
      <c r="C32" t="str">
        <f t="shared" si="0"/>
        <v>Weight Z **</v>
      </c>
      <c r="E32" t="s">
        <v>94</v>
      </c>
      <c r="F32">
        <v>15</v>
      </c>
      <c r="S32" t="str">
        <f t="shared" si="1"/>
        <v>Weight</v>
      </c>
      <c r="T32" t="str">
        <f t="shared" si="2"/>
        <v>ZZ</v>
      </c>
      <c r="U32" t="str">
        <f t="shared" ref="U32:U33" si="5">LEFT(T32,1)</f>
        <v>Z</v>
      </c>
      <c r="V32" t="str">
        <f t="shared" si="3"/>
        <v>Weight Z **</v>
      </c>
    </row>
    <row r="33" spans="3:22" x14ac:dyDescent="0.25">
      <c r="C33" t="str">
        <f>IF(AND(E33&lt;&gt;"RR",E33&lt;&gt;"LF"),CONCATENATE(B33," ",E33),B33)</f>
        <v xml:space="preserve"> </v>
      </c>
      <c r="S33" t="e">
        <f t="shared" si="1"/>
        <v>#VALUE!</v>
      </c>
      <c r="T33" t="e">
        <f t="shared" si="2"/>
        <v>#VALUE!</v>
      </c>
      <c r="U33" t="e">
        <f t="shared" si="5"/>
        <v>#VALUE!</v>
      </c>
      <c r="V33" t="e">
        <f t="shared" si="3"/>
        <v>#VALUE!</v>
      </c>
    </row>
    <row r="34" spans="3:22" x14ac:dyDescent="0.25">
      <c r="C34" t="str">
        <f>IF(AND(E34&lt;&gt;"RR",E34&lt;&gt;"LF"),CONCATENATE(B34," ",E34),B34)</f>
        <v xml:space="preserve"> </v>
      </c>
    </row>
    <row r="35" spans="3:22" x14ac:dyDescent="0.25">
      <c r="C35" t="str">
        <f>IF(AND(E35&lt;&gt;"RR",E35&lt;&gt;"LF"),CONCATENATE(B35," ",E35),B35)</f>
        <v xml:space="preserve"> </v>
      </c>
    </row>
  </sheetData>
  <autoFilter ref="A1:J35" xr:uid="{15CF7174-E500-EE43-9234-5D76717F373E}"/>
  <sortState xmlns:xlrd2="http://schemas.microsoft.com/office/spreadsheetml/2017/richdata2" ref="B3:L33">
    <sortCondition ref="B3:B33"/>
  </sortState>
  <phoneticPr fontId="20" type="noConversion"/>
  <conditionalFormatting sqref="A2:A31">
    <cfRule type="expression" dxfId="2" priority="4721">
      <formula>AND($A2="Y",$F2="")</formula>
    </cfRule>
  </conditionalFormatting>
  <conditionalFormatting sqref="A2:A31">
    <cfRule type="expression" dxfId="1" priority="1">
      <formula>AND(A2&lt;&gt;"",$L2&lt;TODAY()-180)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99E83-1597-8242-AD48-92D7EE654655}">
  <sheetPr codeName="Sheet3"/>
  <dimension ref="A1:G46"/>
  <sheetViews>
    <sheetView workbookViewId="0">
      <selection activeCell="D17" sqref="D17"/>
    </sheetView>
  </sheetViews>
  <sheetFormatPr defaultColWidth="10.85546875" defaultRowHeight="15" x14ac:dyDescent="0.25"/>
  <cols>
    <col min="1" max="1" width="7.7109375" style="41" customWidth="1"/>
    <col min="2" max="2" width="16" style="41" bestFit="1" customWidth="1"/>
    <col min="3" max="3" width="27.7109375" style="41" customWidth="1"/>
    <col min="4" max="4" width="18.7109375" customWidth="1"/>
  </cols>
  <sheetData>
    <row r="1" spans="1:7" x14ac:dyDescent="0.25">
      <c r="D1">
        <f>COUNTIF(D2:D46,"&lt;&gt;"&amp;0)</f>
        <v>19</v>
      </c>
      <c r="E1" t="s">
        <v>81</v>
      </c>
    </row>
    <row r="2" spans="1:7" x14ac:dyDescent="0.25">
      <c r="A2" s="41">
        <v>1</v>
      </c>
      <c r="B2" s="41" t="str">
        <f t="array" ref="B2">INDEX('Master Database'!$B$1:$B$67,SMALL(IF('Master Database'!$A$1:$A$67="Y",ROW('Master Database'!$A$1:$A$67)),ROW()-ROW($B$2)+1))</f>
        <v>1 A</v>
      </c>
      <c r="C2" s="41" t="str">
        <f>VLOOKUP(B2,'Master Database'!$B$2:$C$67,2,FALSE)</f>
        <v>1 A *R</v>
      </c>
      <c r="D2" t="str">
        <f>IF(ISERROR(C2),0,C2)</f>
        <v>1 A *R</v>
      </c>
      <c r="E2">
        <f>VLOOKUP(B2,'Master Database'!B2:J32,9,FALSE)</f>
        <v>1234</v>
      </c>
      <c r="F2" s="51" t="str">
        <f>LEFT(B2,FIND(" ",B2,1)-1)</f>
        <v>1</v>
      </c>
      <c r="G2">
        <f>VLOOKUP(D2,'Master Database'!C2:F32,4,FALSE)</f>
        <v>73</v>
      </c>
    </row>
    <row r="3" spans="1:7" x14ac:dyDescent="0.25">
      <c r="A3" s="41">
        <v>2</v>
      </c>
      <c r="B3" s="41" t="str">
        <f t="array" ref="B3">INDEX('Master Database'!$B$1:$B$67,SMALL(IF('Master Database'!$A$1:$A$67="Y",ROW('Master Database'!$A$1:$A$67)),ROW()-ROW($B$2)+1))</f>
        <v>2 A</v>
      </c>
      <c r="C3" s="41" t="str">
        <f>VLOOKUP(B3,'Master Database'!$B$2:$C$67,2,FALSE)</f>
        <v>2 A **</v>
      </c>
      <c r="D3" t="str">
        <f t="shared" ref="D3:D46" si="0">IF(ISERROR(C3),0,C3)</f>
        <v>2 A **</v>
      </c>
      <c r="E3">
        <f>VLOOKUP(B3,'Master Database'!B3:J33,9,FALSE)</f>
        <v>1235</v>
      </c>
      <c r="F3" s="51" t="str">
        <f t="shared" ref="F3:F25" si="1">LEFT(B3,FIND(" ",B3,1)-1)</f>
        <v>2</v>
      </c>
      <c r="G3">
        <f>VLOOKUP(D3,'Master Database'!C3:F33,4,FALSE)</f>
        <v>97</v>
      </c>
    </row>
    <row r="4" spans="1:7" x14ac:dyDescent="0.25">
      <c r="A4" s="41">
        <v>3</v>
      </c>
      <c r="B4" s="41" t="str">
        <f t="array" ref="B4">INDEX('Master Database'!$B$1:$B$67,SMALL(IF('Master Database'!$A$1:$A$67="Y",ROW('Master Database'!$A$1:$A$67)),ROW()-ROW($B$2)+1))</f>
        <v>3 A</v>
      </c>
      <c r="C4" s="41" t="str">
        <f>VLOOKUP(B4,'Master Database'!$B$2:$C$67,2,FALSE)</f>
        <v>3 A **</v>
      </c>
      <c r="D4" t="str">
        <f t="shared" si="0"/>
        <v>3 A **</v>
      </c>
      <c r="E4">
        <f>VLOOKUP(B4,'Master Database'!B4:J34,9,FALSE)</f>
        <v>1236</v>
      </c>
      <c r="F4" s="51" t="str">
        <f t="shared" si="1"/>
        <v>3</v>
      </c>
      <c r="G4">
        <f>VLOOKUP(D4,'Master Database'!C4:F34,4,FALSE)</f>
        <v>77</v>
      </c>
    </row>
    <row r="5" spans="1:7" x14ac:dyDescent="0.25">
      <c r="A5" s="41">
        <v>4</v>
      </c>
      <c r="B5" s="41" t="str">
        <f t="array" ref="B5">INDEX('Master Database'!$B$1:$B$67,SMALL(IF('Master Database'!$A$1:$A$67="Y",ROW('Master Database'!$A$1:$A$67)),ROW()-ROW($B$2)+1))</f>
        <v>4 A</v>
      </c>
      <c r="C5" s="41" t="str">
        <f>VLOOKUP(B5,'Master Database'!$B$2:$C$67,2,FALSE)</f>
        <v>4 A</v>
      </c>
      <c r="D5" t="str">
        <f t="shared" si="0"/>
        <v>4 A</v>
      </c>
      <c r="E5">
        <f>VLOOKUP(B5,'Master Database'!B5:J35,9,FALSE)</f>
        <v>1237</v>
      </c>
      <c r="F5" s="51" t="str">
        <f t="shared" si="1"/>
        <v>4</v>
      </c>
      <c r="G5">
        <f>VLOOKUP(D5,'Master Database'!C5:F35,4,FALSE)</f>
        <v>95</v>
      </c>
    </row>
    <row r="6" spans="1:7" x14ac:dyDescent="0.25">
      <c r="A6" s="41">
        <v>5</v>
      </c>
      <c r="B6" s="41" t="str">
        <f t="array" ref="B6">INDEX('Master Database'!$B$1:$B$67,SMALL(IF('Master Database'!$A$1:$A$67="Y",ROW('Master Database'!$A$1:$A$67)),ROW()-ROW($B$2)+1))</f>
        <v>5 A</v>
      </c>
      <c r="C6" s="41" t="str">
        <f>VLOOKUP(B6,'Master Database'!$B$2:$C$67,2,FALSE)</f>
        <v>5 A **</v>
      </c>
      <c r="D6" t="str">
        <f t="shared" si="0"/>
        <v>5 A **</v>
      </c>
      <c r="E6" t="e">
        <f>VLOOKUP(B6,'Master Database'!B7:J36,9,FALSE)</f>
        <v>#N/A</v>
      </c>
      <c r="F6" s="51" t="str">
        <f t="shared" si="1"/>
        <v>5</v>
      </c>
      <c r="G6" t="e">
        <f>VLOOKUP(D6,'Master Database'!C7:F36,4,FALSE)</f>
        <v>#N/A</v>
      </c>
    </row>
    <row r="7" spans="1:7" x14ac:dyDescent="0.25">
      <c r="A7" s="41">
        <v>6</v>
      </c>
      <c r="B7" s="41" t="str">
        <f t="array" ref="B7">INDEX('Master Database'!$B$1:$B$67,SMALL(IF('Master Database'!$A$1:$A$67="Y",ROW('Master Database'!$A$1:$A$67)),ROW()-ROW($B$2)+1))</f>
        <v>6 A</v>
      </c>
      <c r="C7" s="41" t="str">
        <f>VLOOKUP(B7,'Master Database'!$B$2:$C$67,2,FALSE)</f>
        <v>6 A **</v>
      </c>
      <c r="D7" t="str">
        <f t="shared" si="0"/>
        <v>6 A **</v>
      </c>
      <c r="E7">
        <f>VLOOKUP(B7,'Master Database'!B7:J37,9,FALSE)</f>
        <v>1239</v>
      </c>
      <c r="F7" s="51" t="str">
        <f t="shared" si="1"/>
        <v>6</v>
      </c>
      <c r="G7">
        <f>VLOOKUP(D7,'Master Database'!C7:F37,4,FALSE)</f>
        <v>54</v>
      </c>
    </row>
    <row r="8" spans="1:7" x14ac:dyDescent="0.25">
      <c r="A8" s="41">
        <v>7</v>
      </c>
      <c r="B8" s="41" t="str">
        <f t="array" ref="B8">INDEX('Master Database'!$B$1:$B$67,SMALL(IF('Master Database'!$A$1:$A$67="Y",ROW('Master Database'!$A$1:$A$67)),ROW()-ROW($B$2)+1))</f>
        <v>7 A</v>
      </c>
      <c r="C8" s="41" t="str">
        <f>VLOOKUP(B8,'Master Database'!$B$2:$C$67,2,FALSE)</f>
        <v>7 A **</v>
      </c>
      <c r="D8" t="str">
        <f t="shared" si="0"/>
        <v>7 A **</v>
      </c>
      <c r="E8">
        <f>VLOOKUP(B8,'Master Database'!B8:J38,9,FALSE)</f>
        <v>1240</v>
      </c>
      <c r="F8" s="51" t="str">
        <f t="shared" si="1"/>
        <v>7</v>
      </c>
      <c r="G8">
        <f>VLOOKUP(D8,'Master Database'!C8:F38,4,FALSE)</f>
        <v>95</v>
      </c>
    </row>
    <row r="9" spans="1:7" x14ac:dyDescent="0.25">
      <c r="A9" s="41">
        <v>8</v>
      </c>
      <c r="B9" s="41" t="str">
        <f t="array" ref="B9">INDEX('Master Database'!$B$1:$B$67,SMALL(IF('Master Database'!$A$1:$A$67="Y",ROW('Master Database'!$A$1:$A$67)),ROW()-ROW($B$2)+1))</f>
        <v>8 A</v>
      </c>
      <c r="C9" s="41" t="str">
        <f>VLOOKUP(B9,'Master Database'!$B$2:$C$67,2,FALSE)</f>
        <v>8 A</v>
      </c>
      <c r="D9" t="str">
        <f t="shared" si="0"/>
        <v>8 A</v>
      </c>
      <c r="E9">
        <f>VLOOKUP(B9,'Master Database'!B9:J39,9,FALSE)</f>
        <v>1241</v>
      </c>
      <c r="F9" s="51" t="str">
        <f t="shared" si="1"/>
        <v>8</v>
      </c>
      <c r="G9">
        <f>VLOOKUP(D9,'Master Database'!C9:F39,4,FALSE)</f>
        <v>95</v>
      </c>
    </row>
    <row r="10" spans="1:7" x14ac:dyDescent="0.25">
      <c r="A10" s="41">
        <v>9</v>
      </c>
      <c r="B10" s="41" t="str">
        <f t="array" ref="B10">INDEX('Master Database'!$B$1:$B$67,SMALL(IF('Master Database'!$A$1:$A$67="Y",ROW('Master Database'!$A$1:$A$67)),ROW()-ROW($B$2)+1))</f>
        <v>9 A</v>
      </c>
      <c r="C10" s="41" t="str">
        <f>VLOOKUP(B10,'Master Database'!$B$2:$C$67,2,FALSE)</f>
        <v>9 A **</v>
      </c>
      <c r="D10" t="str">
        <f t="shared" si="0"/>
        <v>9 A **</v>
      </c>
      <c r="E10">
        <f>VLOOKUP(B10,'Master Database'!B9:J40,9,FALSE)</f>
        <v>1242</v>
      </c>
      <c r="F10" s="51" t="str">
        <f t="shared" si="1"/>
        <v>9</v>
      </c>
      <c r="G10">
        <f>VLOOKUP(D10,'Master Database'!C9:F40,4,FALSE)</f>
        <v>101</v>
      </c>
    </row>
    <row r="11" spans="1:7" x14ac:dyDescent="0.25">
      <c r="A11" s="41">
        <v>10</v>
      </c>
      <c r="B11" s="41" t="str">
        <f t="array" ref="B11">INDEX('Master Database'!$B$1:$B$67,SMALL(IF('Master Database'!$A$1:$A$67="Y",ROW('Master Database'!$A$1:$A$67)),ROW()-ROW($B$2)+1))</f>
        <v>10 A</v>
      </c>
      <c r="C11" s="41" t="str">
        <f>VLOOKUP(B11,'Master Database'!$B$2:$C$67,2,FALSE)</f>
        <v>10 A **</v>
      </c>
      <c r="D11" t="str">
        <f t="shared" si="0"/>
        <v>10 A **</v>
      </c>
      <c r="E11">
        <f>VLOOKUP(B11,'Master Database'!B9:J41,9,FALSE)</f>
        <v>1243</v>
      </c>
      <c r="F11" s="51" t="str">
        <f t="shared" si="1"/>
        <v>10</v>
      </c>
      <c r="G11">
        <f>VLOOKUP(D11,'Master Database'!C9:F41,4,FALSE)</f>
        <v>92</v>
      </c>
    </row>
    <row r="12" spans="1:7" x14ac:dyDescent="0.25">
      <c r="A12" s="41">
        <v>11</v>
      </c>
      <c r="B12" s="41" t="str">
        <f t="array" ref="B12">INDEX('Master Database'!$B$1:$B$67,SMALL(IF('Master Database'!$A$1:$A$67="Y",ROW('Master Database'!$A$1:$A$67)),ROW()-ROW($B$2)+1))</f>
        <v>11 A</v>
      </c>
      <c r="C12" s="41" t="str">
        <f>VLOOKUP(B12,'Master Database'!$B$2:$C$67,2,FALSE)</f>
        <v>11 A *L</v>
      </c>
      <c r="D12" t="str">
        <f>IF(ISERROR(C12),0,C12)</f>
        <v>11 A *L</v>
      </c>
      <c r="E12">
        <f>VLOOKUP(B12,'Master Database'!B10:J42,9,FALSE)</f>
        <v>1244</v>
      </c>
      <c r="F12" s="51" t="str">
        <f t="shared" si="1"/>
        <v>11</v>
      </c>
      <c r="G12">
        <f>VLOOKUP(D12,'Master Database'!C10:F42,4,FALSE)</f>
        <v>63</v>
      </c>
    </row>
    <row r="13" spans="1:7" x14ac:dyDescent="0.25">
      <c r="A13" s="41">
        <v>12</v>
      </c>
      <c r="B13" s="41" t="str">
        <f t="array" ref="B13">INDEX('Master Database'!$B$1:$B$67,SMALL(IF('Master Database'!$A$1:$A$67="Y",ROW('Master Database'!$A$1:$A$67)),ROW()-ROW($B$2)+1))</f>
        <v>12 A</v>
      </c>
      <c r="C13" s="41" t="str">
        <f>VLOOKUP(B13,'Master Database'!$B$2:$C$67,2,FALSE)</f>
        <v>12 A **</v>
      </c>
      <c r="D13" t="str">
        <f t="shared" si="0"/>
        <v>12 A **</v>
      </c>
      <c r="E13">
        <f>VLOOKUP(B13,'Master Database'!B10:J43,9,FALSE)</f>
        <v>1245</v>
      </c>
      <c r="F13" s="51" t="str">
        <f t="shared" si="1"/>
        <v>12</v>
      </c>
      <c r="G13">
        <f>VLOOKUP(D13,'Master Database'!C10:F43,4,FALSE)</f>
        <v>61</v>
      </c>
    </row>
    <row r="14" spans="1:7" x14ac:dyDescent="0.25">
      <c r="A14" s="41">
        <v>13</v>
      </c>
      <c r="B14" s="41" t="str">
        <f t="array" ref="B14">INDEX('Master Database'!$B$1:$B$67,SMALL(IF('Master Database'!$A$1:$A$67="Y",ROW('Master Database'!$A$1:$A$67)),ROW()-ROW($B$2)+1))</f>
        <v>13 A</v>
      </c>
      <c r="C14" s="41" t="str">
        <f>VLOOKUP(B14,'Master Database'!$B$2:$C$67,2,FALSE)</f>
        <v xml:space="preserve">13 A </v>
      </c>
      <c r="D14" t="str">
        <f t="shared" si="0"/>
        <v xml:space="preserve">13 A </v>
      </c>
      <c r="E14">
        <f>VLOOKUP(B14,'Master Database'!B11:J44,9,FALSE)</f>
        <v>1246</v>
      </c>
      <c r="F14" s="51" t="str">
        <f t="shared" si="1"/>
        <v>13</v>
      </c>
      <c r="G14">
        <f>VLOOKUP(D14,'Master Database'!C11:F44,4,FALSE)</f>
        <v>60</v>
      </c>
    </row>
    <row r="15" spans="1:7" x14ac:dyDescent="0.25">
      <c r="A15" s="41">
        <v>14</v>
      </c>
      <c r="B15" s="41" t="str">
        <f t="array" ref="B15">INDEX('Master Database'!$B$1:$B$67,SMALL(IF('Master Database'!$A$1:$A$67="Y",ROW('Master Database'!$A$1:$A$67)),ROW()-ROW($B$2)+1))</f>
        <v>14 A</v>
      </c>
      <c r="C15" s="41" t="str">
        <f>VLOOKUP(B15,'Master Database'!$B$2:$C$67,2,FALSE)</f>
        <v xml:space="preserve">14 A </v>
      </c>
      <c r="D15" t="str">
        <f t="shared" si="0"/>
        <v xml:space="preserve">14 A </v>
      </c>
      <c r="E15">
        <f>VLOOKUP(B15,'Master Database'!B12:J45,9,FALSE)</f>
        <v>1247</v>
      </c>
      <c r="F15" s="51" t="str">
        <f t="shared" si="1"/>
        <v>14</v>
      </c>
      <c r="G15">
        <f>VLOOKUP(D15,'Master Database'!C12:F45,4,FALSE)</f>
        <v>56</v>
      </c>
    </row>
    <row r="16" spans="1:7" x14ac:dyDescent="0.25">
      <c r="A16" s="41">
        <v>15</v>
      </c>
      <c r="B16" s="41" t="str">
        <f t="array" ref="B16">INDEX('Master Database'!$B$1:$B$67,SMALL(IF('Master Database'!$A$1:$A$67="Y",ROW('Master Database'!$A$1:$A$67)),ROW()-ROW($B$2)+1))</f>
        <v>15 A</v>
      </c>
      <c r="C16" s="41" t="str">
        <f>VLOOKUP(B16,'Master Database'!$B$2:$C$67,2,FALSE)</f>
        <v>15 A *L</v>
      </c>
      <c r="D16" t="str">
        <f t="shared" si="0"/>
        <v>15 A *L</v>
      </c>
      <c r="E16">
        <f>VLOOKUP(B16,'Master Database'!B13:J46,9,FALSE)</f>
        <v>1248</v>
      </c>
      <c r="F16" s="51" t="str">
        <f t="shared" si="1"/>
        <v>15</v>
      </c>
      <c r="G16">
        <f>VLOOKUP(D16,'Master Database'!C13:F46,4,FALSE)</f>
        <v>73</v>
      </c>
    </row>
    <row r="17" spans="1:7" x14ac:dyDescent="0.25">
      <c r="A17" s="41">
        <v>16</v>
      </c>
      <c r="B17" s="41" t="str">
        <f t="array" ref="B17">INDEX('Master Database'!$B$1:$B$67,SMALL(IF('Master Database'!$A$1:$A$67="Y",ROW('Master Database'!$A$1:$A$67)),ROW()-ROW($B$2)+1))</f>
        <v>16 A</v>
      </c>
      <c r="C17" s="41" t="str">
        <f>VLOOKUP(B17,'Master Database'!$B$2:$C$67,2,FALSE)</f>
        <v>16 A **</v>
      </c>
      <c r="D17" t="str">
        <f t="shared" si="0"/>
        <v>16 A **</v>
      </c>
      <c r="E17">
        <f>VLOOKUP(B17,'Master Database'!B14:J47,9,FALSE)</f>
        <v>1249</v>
      </c>
      <c r="F17" s="51" t="str">
        <f t="shared" si="1"/>
        <v>16</v>
      </c>
      <c r="G17">
        <f>VLOOKUP(D17,'Master Database'!C14:F47,4,FALSE)</f>
        <v>60</v>
      </c>
    </row>
    <row r="18" spans="1:7" x14ac:dyDescent="0.25">
      <c r="A18" s="41">
        <v>17</v>
      </c>
      <c r="B18" s="41" t="str">
        <f t="array" ref="B18">INDEX('Master Database'!$B$1:$B$67,SMALL(IF('Master Database'!$A$1:$A$67="Y",ROW('Master Database'!$A$1:$A$67)),ROW()-ROW($B$2)+1))</f>
        <v>17 A</v>
      </c>
      <c r="C18" s="41" t="str">
        <f>VLOOKUP(B18,'Master Database'!$B$2:$C$67,2,FALSE)</f>
        <v>17 A **</v>
      </c>
      <c r="D18" t="str">
        <f t="shared" si="0"/>
        <v>17 A **</v>
      </c>
      <c r="E18">
        <f>VLOOKUP(B18,'Master Database'!B15:J48,9,FALSE)</f>
        <v>1250</v>
      </c>
      <c r="F18" s="51" t="str">
        <f t="shared" si="1"/>
        <v>17</v>
      </c>
      <c r="G18">
        <f>VLOOKUP(D18,'Master Database'!C15:F48,4,FALSE)</f>
        <v>63</v>
      </c>
    </row>
    <row r="19" spans="1:7" x14ac:dyDescent="0.25">
      <c r="A19" s="41">
        <v>18</v>
      </c>
      <c r="B19" s="41" t="str">
        <f t="array" ref="B19">INDEX('Master Database'!$B$1:$B$67,SMALL(IF('Master Database'!$A$1:$A$67="Y",ROW('Master Database'!$A$1:$A$67)),ROW()-ROW($B$2)+1))</f>
        <v>18 A</v>
      </c>
      <c r="C19" s="41" t="str">
        <f>VLOOKUP(B19,'Master Database'!$B$2:$C$67,2,FALSE)</f>
        <v>18 A</v>
      </c>
      <c r="D19" t="str">
        <f t="shared" si="0"/>
        <v>18 A</v>
      </c>
      <c r="E19">
        <f>VLOOKUP(B19,'Master Database'!B19:J49,9,FALSE)</f>
        <v>1251</v>
      </c>
      <c r="F19" s="51" t="str">
        <f t="shared" si="1"/>
        <v>18</v>
      </c>
      <c r="G19">
        <f>VLOOKUP(D19,'Master Database'!C19:F49,4,FALSE)</f>
        <v>61</v>
      </c>
    </row>
    <row r="20" spans="1:7" x14ac:dyDescent="0.25">
      <c r="A20" s="41">
        <v>19</v>
      </c>
      <c r="B20" s="41" t="str">
        <f t="array" ref="B20">INDEX('Master Database'!$B$1:$B$67,SMALL(IF('Master Database'!$A$1:$A$67="Y",ROW('Master Database'!$A$1:$A$67)),ROW()-ROW($B$2)+1))</f>
        <v>19 A</v>
      </c>
      <c r="C20" s="41" t="str">
        <f>VLOOKUP(B20,'Master Database'!$B$2:$C$67,2,FALSE)</f>
        <v>19 A **</v>
      </c>
      <c r="D20" t="str">
        <f t="shared" si="0"/>
        <v>19 A **</v>
      </c>
      <c r="E20">
        <f>VLOOKUP(B20,'Master Database'!B19:J50,9,FALSE)</f>
        <v>1252</v>
      </c>
      <c r="F20" s="51" t="str">
        <f t="shared" si="1"/>
        <v>19</v>
      </c>
      <c r="G20">
        <f>VLOOKUP(D20,'Master Database'!C19:F50,4,FALSE)</f>
        <v>80</v>
      </c>
    </row>
    <row r="21" spans="1:7" x14ac:dyDescent="0.25">
      <c r="A21" s="41">
        <v>20</v>
      </c>
      <c r="B21" s="41" t="e">
        <f t="array" ref="B21">INDEX('Master Database'!$B$1:$B$67,SMALL(IF('Master Database'!$A$1:$A$67="Y",ROW('Master Database'!$A$1:$A$67)),ROW()-ROW($B$2)+1))</f>
        <v>#NUM!</v>
      </c>
      <c r="C21" s="41" t="e">
        <f>VLOOKUP(B21,'Master Database'!$B$2:$C$67,2,FALSE)</f>
        <v>#NUM!</v>
      </c>
      <c r="D21">
        <f t="shared" si="0"/>
        <v>0</v>
      </c>
      <c r="E21" t="e">
        <f>VLOOKUP(B21,'Master Database'!B20:J51,9,FALSE)</f>
        <v>#NUM!</v>
      </c>
      <c r="F21" s="51" t="e">
        <f t="shared" si="1"/>
        <v>#NUM!</v>
      </c>
      <c r="G21" t="e">
        <f>VLOOKUP(D21,'Master Database'!C20:F51,4,FALSE)</f>
        <v>#N/A</v>
      </c>
    </row>
    <row r="22" spans="1:7" x14ac:dyDescent="0.25">
      <c r="A22" s="41">
        <v>21</v>
      </c>
      <c r="B22" s="41" t="e">
        <f t="array" ref="B22">INDEX('Master Database'!$B$1:$B$67,SMALL(IF('Master Database'!$A$1:$A$67="Y",ROW('Master Database'!$A$1:$A$67)),ROW()-ROW($B$2)+1))</f>
        <v>#NUM!</v>
      </c>
      <c r="C22" s="41" t="e">
        <f>VLOOKUP(B22,'Master Database'!$B$2:$C$67,2,FALSE)</f>
        <v>#NUM!</v>
      </c>
      <c r="D22">
        <f t="shared" si="0"/>
        <v>0</v>
      </c>
      <c r="E22" t="e">
        <f>VLOOKUP(B22,'Master Database'!B21:J52,9,FALSE)</f>
        <v>#NUM!</v>
      </c>
      <c r="F22" s="51" t="e">
        <f t="shared" si="1"/>
        <v>#NUM!</v>
      </c>
      <c r="G22" t="e">
        <f>VLOOKUP(D22,'Master Database'!C21:F52,4,FALSE)</f>
        <v>#N/A</v>
      </c>
    </row>
    <row r="23" spans="1:7" x14ac:dyDescent="0.25">
      <c r="A23" s="41">
        <v>22</v>
      </c>
      <c r="B23" s="41" t="e">
        <f t="array" ref="B23">INDEX('Master Database'!$B$1:$B$67,SMALL(IF('Master Database'!$A$1:$A$67="Y",ROW('Master Database'!$A$1:$A$67)),ROW()-ROW($B$2)+1))</f>
        <v>#NUM!</v>
      </c>
      <c r="C23" s="41" t="e">
        <f>VLOOKUP(B23,'Master Database'!$B$2:$C$67,2,FALSE)</f>
        <v>#NUM!</v>
      </c>
      <c r="D23">
        <f t="shared" si="0"/>
        <v>0</v>
      </c>
      <c r="E23" t="e">
        <f>VLOOKUP(B23,'Master Database'!B21:J53,9,FALSE)</f>
        <v>#NUM!</v>
      </c>
      <c r="F23" s="51" t="e">
        <f t="shared" si="1"/>
        <v>#NUM!</v>
      </c>
      <c r="G23" t="e">
        <f>VLOOKUP(D23,'Master Database'!C21:F53,4,FALSE)</f>
        <v>#N/A</v>
      </c>
    </row>
    <row r="24" spans="1:7" x14ac:dyDescent="0.25">
      <c r="A24" s="41">
        <v>23</v>
      </c>
      <c r="B24" s="41" t="e">
        <f t="array" ref="B24">INDEX('Master Database'!$B$1:$B$67,SMALL(IF('Master Database'!$A$1:$A$67="Y",ROW('Master Database'!$A$1:$A$67)),ROW()-ROW($B$2)+1))</f>
        <v>#NUM!</v>
      </c>
      <c r="C24" s="41" t="e">
        <f>VLOOKUP(B24,'Master Database'!$B$2:$C$67,2,FALSE)</f>
        <v>#NUM!</v>
      </c>
      <c r="D24">
        <f t="shared" si="0"/>
        <v>0</v>
      </c>
      <c r="E24" t="e">
        <f>VLOOKUP(B24,'Master Database'!B22:J54,9,FALSE)</f>
        <v>#NUM!</v>
      </c>
      <c r="F24" s="51" t="e">
        <f t="shared" si="1"/>
        <v>#NUM!</v>
      </c>
      <c r="G24" t="e">
        <f>VLOOKUP(D24,'Master Database'!C23:F54,4,FALSE)</f>
        <v>#N/A</v>
      </c>
    </row>
    <row r="25" spans="1:7" x14ac:dyDescent="0.25">
      <c r="A25" s="41">
        <v>24</v>
      </c>
      <c r="B25" s="41" t="e">
        <f t="array" ref="B25">INDEX('Master Database'!$B$1:$B$67,SMALL(IF('Master Database'!$A$1:$A$67="Y",ROW('Master Database'!$A$1:$A$67)),ROW()-ROW($B$2)+1))</f>
        <v>#NUM!</v>
      </c>
      <c r="C25" s="41" t="e">
        <f>VLOOKUP(B25,'Master Database'!$B$2:$C$67,2,FALSE)</f>
        <v>#NUM!</v>
      </c>
      <c r="D25">
        <f t="shared" si="0"/>
        <v>0</v>
      </c>
      <c r="E25" t="e">
        <f>VLOOKUP(B25,'Master Database'!B23:J55,9,FALSE)</f>
        <v>#NUM!</v>
      </c>
      <c r="F25" s="51" t="e">
        <f t="shared" si="1"/>
        <v>#NUM!</v>
      </c>
      <c r="G25" t="e">
        <f>VLOOKUP(D25,'Master Database'!C23:F55,4,FALSE)</f>
        <v>#N/A</v>
      </c>
    </row>
    <row r="26" spans="1:7" x14ac:dyDescent="0.25">
      <c r="A26" s="41">
        <v>25</v>
      </c>
      <c r="B26" s="41" t="e">
        <f t="array" ref="B26">INDEX('Master Database'!$B$1:$B$67,SMALL(IF('Master Database'!$A$1:$A$67="Y",ROW('Master Database'!$A$1:$A$67)),ROW()-ROW($B$2)+1))</f>
        <v>#NUM!</v>
      </c>
      <c r="C26" s="41" t="e">
        <f>VLOOKUP(B26,'Master Database'!$B$2:$C$67,2,FALSE)</f>
        <v>#NUM!</v>
      </c>
      <c r="D26">
        <f t="shared" si="0"/>
        <v>0</v>
      </c>
      <c r="E26" t="e">
        <f>VLOOKUP(B26,'Master Database'!B23:J56,9,FALSE)</f>
        <v>#NUM!</v>
      </c>
    </row>
    <row r="27" spans="1:7" x14ac:dyDescent="0.25">
      <c r="A27" s="41">
        <v>26</v>
      </c>
      <c r="B27" s="41" t="e">
        <f t="array" ref="B27">INDEX('Master Database'!$B$1:$B$67,SMALL(IF('Master Database'!$A$1:$A$67="Y",ROW('Master Database'!$A$1:$A$67)),ROW()-ROW($B$2)+1))</f>
        <v>#NUM!</v>
      </c>
      <c r="C27" s="41" t="e">
        <f>VLOOKUP(B27,'Master Database'!$B$2:$C$67,2,FALSE)</f>
        <v>#NUM!</v>
      </c>
      <c r="D27">
        <f t="shared" si="0"/>
        <v>0</v>
      </c>
      <c r="E27" t="e">
        <f>VLOOKUP(B27,'Master Database'!B23:J57,9,FALSE)</f>
        <v>#NUM!</v>
      </c>
    </row>
    <row r="28" spans="1:7" x14ac:dyDescent="0.25">
      <c r="B28" s="41" t="e">
        <f t="array" ref="B28">INDEX('Master Database'!$B$1:$B$67,SMALL(IF('Master Database'!$A$1:$A$67="Y",ROW('Master Database'!$A$1:$A$67)),ROW()-ROW($B$2)+1))</f>
        <v>#NUM!</v>
      </c>
      <c r="C28" s="41" t="e">
        <f>VLOOKUP(B28,'Master Database'!$B$2:$C$67,2,FALSE)</f>
        <v>#NUM!</v>
      </c>
      <c r="D28">
        <f t="shared" si="0"/>
        <v>0</v>
      </c>
      <c r="E28" t="e">
        <f>VLOOKUP(B28,'Master Database'!B23:J58,9,FALSE)</f>
        <v>#NUM!</v>
      </c>
    </row>
    <row r="29" spans="1:7" x14ac:dyDescent="0.25">
      <c r="B29" s="41" t="e">
        <f t="array" ref="B29">INDEX('Master Database'!$B$1:$B$67,SMALL(IF('Master Database'!$A$1:$A$67="Y",ROW('Master Database'!$A$1:$A$67)),ROW()-ROW($B$2)+1))</f>
        <v>#NUM!</v>
      </c>
      <c r="C29" s="41" t="e">
        <f>VLOOKUP(B29,'Master Database'!$B$2:$C$67,2,FALSE)</f>
        <v>#NUM!</v>
      </c>
      <c r="D29">
        <f t="shared" si="0"/>
        <v>0</v>
      </c>
      <c r="E29" t="e">
        <f>VLOOKUP(B29,'Master Database'!B24:J59,9,FALSE)</f>
        <v>#NUM!</v>
      </c>
    </row>
    <row r="30" spans="1:7" x14ac:dyDescent="0.25">
      <c r="B30" s="41" t="e">
        <f t="array" ref="B30">INDEX('Master Database'!$B$1:$B$67,SMALL(IF('Master Database'!$A$1:$A$67="Y",ROW('Master Database'!$A$1:$A$67)),ROW()-ROW($B$2)+1))</f>
        <v>#NUM!</v>
      </c>
      <c r="C30" s="41" t="e">
        <f>VLOOKUP(B30,'Master Database'!$B$2:$C$67,2,FALSE)</f>
        <v>#NUM!</v>
      </c>
      <c r="D30">
        <f t="shared" si="0"/>
        <v>0</v>
      </c>
      <c r="E30" t="e">
        <f>VLOOKUP(B30,'Master Database'!B24:J60,9,FALSE)</f>
        <v>#NUM!</v>
      </c>
    </row>
    <row r="31" spans="1:7" x14ac:dyDescent="0.25">
      <c r="B31" s="41" t="e">
        <f t="array" ref="B31">INDEX('Master Database'!$B$1:$B$67,SMALL(IF('Master Database'!$A$1:$A$67="Y",ROW('Master Database'!$A$1:$A$67)),ROW()-ROW($B$2)+1))</f>
        <v>#NUM!</v>
      </c>
      <c r="C31" s="41" t="e">
        <f>VLOOKUP(B31,'Master Database'!$B$2:$C$67,2,FALSE)</f>
        <v>#NUM!</v>
      </c>
      <c r="D31">
        <f t="shared" si="0"/>
        <v>0</v>
      </c>
      <c r="E31" t="e">
        <f>VLOOKUP(B31,'Master Database'!B26:J61,9,FALSE)</f>
        <v>#NUM!</v>
      </c>
    </row>
    <row r="32" spans="1:7" x14ac:dyDescent="0.25">
      <c r="B32" s="41" t="e">
        <f t="array" ref="B32">INDEX('Master Database'!$B$1:$B$67,SMALL(IF('Master Database'!$A$1:$A$67="Y",ROW('Master Database'!$A$1:$A$67)),ROW()-ROW($B$2)+1))</f>
        <v>#NUM!</v>
      </c>
      <c r="C32" s="41" t="e">
        <f>VLOOKUP(B32,'Master Database'!$B$2:$C$67,2,FALSE)</f>
        <v>#NUM!</v>
      </c>
      <c r="D32">
        <f t="shared" si="0"/>
        <v>0</v>
      </c>
      <c r="E32" t="e">
        <f>VLOOKUP(B32,'Master Database'!B27:J62,9,FALSE)</f>
        <v>#NUM!</v>
      </c>
    </row>
    <row r="33" spans="2:5" x14ac:dyDescent="0.25">
      <c r="B33" s="41" t="e">
        <f t="array" ref="B33">INDEX('Master Database'!$B$1:$B$67,SMALL(IF('Master Database'!$A$1:$A$67="Y",ROW('Master Database'!$A$1:$A$67)),ROW()-ROW($B$2)+1))</f>
        <v>#NUM!</v>
      </c>
      <c r="C33" s="41" t="e">
        <f>VLOOKUP(B33,'Master Database'!$B$2:$C$67,2,FALSE)</f>
        <v>#NUM!</v>
      </c>
      <c r="D33">
        <f t="shared" si="0"/>
        <v>0</v>
      </c>
      <c r="E33" t="e">
        <f>VLOOKUP(B33,'Master Database'!B27:J63,9,FALSE)</f>
        <v>#NUM!</v>
      </c>
    </row>
    <row r="34" spans="2:5" x14ac:dyDescent="0.25">
      <c r="B34" s="41" t="e">
        <f t="array" ref="B34">INDEX('Master Database'!$B$1:$B$67,SMALL(IF('Master Database'!$A$1:$A$67="Y",ROW('Master Database'!$A$1:$A$67)),ROW()-ROW($B$2)+1))</f>
        <v>#NUM!</v>
      </c>
      <c r="C34" s="41" t="e">
        <f>VLOOKUP(B34,'Master Database'!$B$2:$C$67,2,FALSE)</f>
        <v>#NUM!</v>
      </c>
      <c r="D34">
        <f t="shared" si="0"/>
        <v>0</v>
      </c>
      <c r="E34" t="e">
        <f>VLOOKUP(B34,'Master Database'!B28:J64,9,FALSE)</f>
        <v>#NUM!</v>
      </c>
    </row>
    <row r="35" spans="2:5" x14ac:dyDescent="0.25">
      <c r="B35" s="41" t="e">
        <f t="array" ref="B35">INDEX('Master Database'!$B$1:$B$67,SMALL(IF('Master Database'!$A$1:$A$67="Y",ROW('Master Database'!$A$1:$A$67)),ROW()-ROW($B$2)+1))</f>
        <v>#NUM!</v>
      </c>
      <c r="C35" s="41" t="e">
        <f>VLOOKUP(B35,'Master Database'!$B$2:$C$67,2,FALSE)</f>
        <v>#NUM!</v>
      </c>
      <c r="D35">
        <f t="shared" si="0"/>
        <v>0</v>
      </c>
      <c r="E35" t="e">
        <f>VLOOKUP(B35,'Master Database'!B29:J65,9,FALSE)</f>
        <v>#NUM!</v>
      </c>
    </row>
    <row r="36" spans="2:5" x14ac:dyDescent="0.25">
      <c r="B36" s="41" t="e">
        <f t="array" ref="B36">INDEX('Master Database'!$B$1:$B$67,SMALL(IF('Master Database'!$A$1:$A$67="Y",ROW('Master Database'!$A$1:$A$67)),ROW()-ROW($B$2)+1))</f>
        <v>#NUM!</v>
      </c>
      <c r="C36" s="41" t="e">
        <f>VLOOKUP(B36,'Master Database'!$B$2:$C$67,2,FALSE)</f>
        <v>#NUM!</v>
      </c>
      <c r="D36">
        <f t="shared" si="0"/>
        <v>0</v>
      </c>
      <c r="E36" t="e">
        <f>VLOOKUP(B36,'Master Database'!B30:J66,9,FALSE)</f>
        <v>#NUM!</v>
      </c>
    </row>
    <row r="37" spans="2:5" x14ac:dyDescent="0.25">
      <c r="B37" s="41" t="e">
        <f t="array" ref="B37">INDEX('Master Database'!$B$1:$B$67,SMALL(IF('Master Database'!$A$1:$A$67="Y",ROW('Master Database'!$A$1:$A$67)),ROW()-ROW($B$2)+1))</f>
        <v>#NUM!</v>
      </c>
      <c r="C37" s="41" t="e">
        <f>VLOOKUP(B37,'Master Database'!$B$2:$C$67,2,FALSE)</f>
        <v>#NUM!</v>
      </c>
      <c r="D37">
        <f t="shared" si="0"/>
        <v>0</v>
      </c>
      <c r="E37" t="e">
        <f>VLOOKUP(B37,'Master Database'!B32:J67,9,FALSE)</f>
        <v>#NUM!</v>
      </c>
    </row>
    <row r="38" spans="2:5" x14ac:dyDescent="0.25">
      <c r="B38" s="41" t="e">
        <f t="array" ref="B38">INDEX('Master Database'!$B$1:$B$67,SMALL(IF('Master Database'!$A$1:$A$67="Y",ROW('Master Database'!$A$1:$A$67)),ROW()-ROW($B$2)+1))</f>
        <v>#NUM!</v>
      </c>
      <c r="C38" s="41" t="e">
        <f>VLOOKUP(B38,'Master Database'!$B$2:$C$67,2,FALSE)</f>
        <v>#NUM!</v>
      </c>
      <c r="D38">
        <f t="shared" si="0"/>
        <v>0</v>
      </c>
      <c r="E38" t="e">
        <f>VLOOKUP(B38,'Master Database'!B32:J68,9,FALSE)</f>
        <v>#NUM!</v>
      </c>
    </row>
    <row r="39" spans="2:5" x14ac:dyDescent="0.25">
      <c r="B39" s="41" t="e">
        <f t="array" ref="B39">INDEX('Master Database'!$B$1:$B$67,SMALL(IF('Master Database'!$A$1:$A$67="Y",ROW('Master Database'!$A$1:$A$67)),ROW()-ROW($B$2)+1))</f>
        <v>#NUM!</v>
      </c>
      <c r="C39" s="41" t="e">
        <f>VLOOKUP(B39,'Master Database'!$B$2:$C$67,2,FALSE)</f>
        <v>#NUM!</v>
      </c>
      <c r="D39">
        <f t="shared" si="0"/>
        <v>0</v>
      </c>
      <c r="E39" t="e">
        <f>VLOOKUP(B39,'Master Database'!B32:J69,9,FALSE)</f>
        <v>#NUM!</v>
      </c>
    </row>
    <row r="40" spans="2:5" x14ac:dyDescent="0.25">
      <c r="B40" s="41" t="e">
        <f t="array" ref="B40">INDEX('Master Database'!$B$1:$B$67,SMALL(IF('Master Database'!$A$1:$A$67="Y",ROW('Master Database'!$A$1:$A$67)),ROW()-ROW($B$2)+1))</f>
        <v>#NUM!</v>
      </c>
      <c r="C40" s="41" t="e">
        <f>VLOOKUP(B40,'Master Database'!$B$2:$C$67,2,FALSE)</f>
        <v>#NUM!</v>
      </c>
      <c r="D40">
        <f t="shared" si="0"/>
        <v>0</v>
      </c>
      <c r="E40" t="e">
        <f>VLOOKUP(B40,'Master Database'!B32:J70,9,FALSE)</f>
        <v>#NUM!</v>
      </c>
    </row>
    <row r="41" spans="2:5" x14ac:dyDescent="0.25">
      <c r="B41" s="41" t="e">
        <f t="array" ref="B41">INDEX('Master Database'!$B$1:$B$67,SMALL(IF('Master Database'!$A$1:$A$67="Y",ROW('Master Database'!$A$1:$A$67)),ROW()-ROW($B$2)+1))</f>
        <v>#NUM!</v>
      </c>
      <c r="C41" s="41" t="e">
        <f>VLOOKUP(B41,'Master Database'!$B$2:$C$67,2,FALSE)</f>
        <v>#NUM!</v>
      </c>
      <c r="D41">
        <f t="shared" si="0"/>
        <v>0</v>
      </c>
      <c r="E41" t="e">
        <f>VLOOKUP(B41,'Master Database'!B32:J71,9,FALSE)</f>
        <v>#NUM!</v>
      </c>
    </row>
    <row r="42" spans="2:5" x14ac:dyDescent="0.25">
      <c r="B42" s="41" t="e">
        <f t="array" ref="B42">INDEX('Master Database'!$B$1:$B$67,SMALL(IF('Master Database'!$A$1:$A$67="Y",ROW('Master Database'!$A$1:$A$67)),ROW()-ROW($B$2)+1))</f>
        <v>#NUM!</v>
      </c>
      <c r="C42" s="41" t="e">
        <f>VLOOKUP(B42,'Master Database'!$B$2:$C$67,2,FALSE)</f>
        <v>#NUM!</v>
      </c>
      <c r="D42">
        <f t="shared" si="0"/>
        <v>0</v>
      </c>
      <c r="E42" t="e">
        <f>VLOOKUP(B42,'Master Database'!B32:J72,9,FALSE)</f>
        <v>#NUM!</v>
      </c>
    </row>
    <row r="43" spans="2:5" x14ac:dyDescent="0.25">
      <c r="B43" s="41" t="e">
        <f t="array" ref="B43">INDEX('Master Database'!$B$1:$B$67,SMALL(IF('Master Database'!$A$1:$A$67="Y",ROW('Master Database'!$A$1:$A$67)),ROW()-ROW($B$2)+1))</f>
        <v>#NUM!</v>
      </c>
      <c r="C43" s="41" t="e">
        <f>VLOOKUP(B43,'Master Database'!$B$2:$C$67,2,FALSE)</f>
        <v>#NUM!</v>
      </c>
      <c r="D43">
        <f t="shared" si="0"/>
        <v>0</v>
      </c>
      <c r="E43" t="e">
        <f>VLOOKUP(B43,'Master Database'!B32:J73,9,FALSE)</f>
        <v>#NUM!</v>
      </c>
    </row>
    <row r="44" spans="2:5" x14ac:dyDescent="0.25">
      <c r="B44" s="41" t="e">
        <f t="array" ref="B44">INDEX('Master Database'!$B$1:$B$67,SMALL(IF('Master Database'!$A$1:$A$67="Y",ROW('Master Database'!$A$1:$A$67)),ROW()-ROW($B$2)+1))</f>
        <v>#NUM!</v>
      </c>
      <c r="C44" s="41" t="e">
        <f>VLOOKUP(B44,'Master Database'!$B$2:$C$67,2,FALSE)</f>
        <v>#NUM!</v>
      </c>
      <c r="D44">
        <f t="shared" si="0"/>
        <v>0</v>
      </c>
      <c r="E44" t="e">
        <f>VLOOKUP(B44,'Master Database'!B32:J74,9,FALSE)</f>
        <v>#NUM!</v>
      </c>
    </row>
    <row r="45" spans="2:5" x14ac:dyDescent="0.25">
      <c r="B45" s="41" t="e">
        <f t="array" ref="B45">INDEX('Master Database'!$B$1:$B$67,SMALL(IF('Master Database'!$A$1:$A$67="Y",ROW('Master Database'!$A$1:$A$67)),ROW()-ROW($B$2)+1))</f>
        <v>#NUM!</v>
      </c>
      <c r="C45" s="41" t="e">
        <f>VLOOKUP(B45,'Master Database'!$B$2:$C$67,2,FALSE)</f>
        <v>#NUM!</v>
      </c>
      <c r="D45">
        <f t="shared" si="0"/>
        <v>0</v>
      </c>
      <c r="E45" t="e">
        <f>VLOOKUP(B45,'Master Database'!B32:J75,9,FALSE)</f>
        <v>#NUM!</v>
      </c>
    </row>
    <row r="46" spans="2:5" x14ac:dyDescent="0.25">
      <c r="B46" s="41" t="e">
        <f t="array" ref="B46">INDEX('Master Database'!$B$1:$B$67,SMALL(IF('Master Database'!$A$1:$A$67="Y",ROW('Master Database'!$A$1:$A$67)),ROW()-ROW($B$2)+1))</f>
        <v>#NUM!</v>
      </c>
      <c r="C46" s="41" t="e">
        <f>VLOOKUP(B46,'Master Database'!$B$2:$C$67,2,FALSE)</f>
        <v>#NUM!</v>
      </c>
      <c r="D46">
        <f t="shared" si="0"/>
        <v>0</v>
      </c>
      <c r="E46" t="e">
        <f>VLOOKUP(B46,'Master Database'!B32:J76,9,FALSE)</f>
        <v>#NUM!</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21:XF62"/>
  <sheetViews>
    <sheetView workbookViewId="0">
      <selection activeCell="E40" sqref="E40"/>
    </sheetView>
  </sheetViews>
  <sheetFormatPr defaultColWidth="8.85546875" defaultRowHeight="15" x14ac:dyDescent="0.25"/>
  <sheetData>
    <row r="21" spans="3:630" x14ac:dyDescent="0.25">
      <c r="C21" t="s">
        <v>41</v>
      </c>
      <c r="D21" t="s">
        <v>42</v>
      </c>
      <c r="E21" t="s">
        <v>44</v>
      </c>
      <c r="F21" t="s">
        <v>45</v>
      </c>
      <c r="G21" t="s">
        <v>43</v>
      </c>
    </row>
    <row r="22" spans="3:630" x14ac:dyDescent="0.25">
      <c r="F22" t="s">
        <v>46</v>
      </c>
      <c r="J22" s="1">
        <v>0.05</v>
      </c>
      <c r="K22" s="1">
        <v>0.1</v>
      </c>
      <c r="L22" s="1">
        <v>0.15</v>
      </c>
      <c r="M22" s="1">
        <v>0.2</v>
      </c>
      <c r="N22" s="1">
        <v>0.25</v>
      </c>
      <c r="O22" s="1">
        <v>0.3</v>
      </c>
      <c r="P22" s="1">
        <v>0.35</v>
      </c>
      <c r="Q22" s="1">
        <v>0.4</v>
      </c>
      <c r="R22" s="1">
        <v>0.45</v>
      </c>
      <c r="S22" s="1">
        <v>0.5</v>
      </c>
      <c r="T22" s="1">
        <v>0.55000000000000004</v>
      </c>
      <c r="U22" s="1">
        <v>0.6</v>
      </c>
      <c r="V22" s="1">
        <v>0.65</v>
      </c>
      <c r="W22" s="1">
        <v>0.7</v>
      </c>
      <c r="X22" s="1">
        <v>0.75</v>
      </c>
      <c r="Y22" s="1">
        <v>0.8</v>
      </c>
      <c r="Z22" s="1">
        <v>0.85</v>
      </c>
      <c r="AA22" s="1">
        <v>0.9</v>
      </c>
      <c r="AB22" s="1">
        <v>0.95</v>
      </c>
      <c r="AC22" s="1">
        <v>1</v>
      </c>
      <c r="AD22" s="1">
        <v>1.05</v>
      </c>
      <c r="AE22" s="1">
        <v>1.1000000000000001</v>
      </c>
      <c r="AF22" s="1">
        <v>1.1499999999999999</v>
      </c>
      <c r="AG22" s="1">
        <v>1.2</v>
      </c>
      <c r="AH22" s="1">
        <v>1.25</v>
      </c>
      <c r="AI22" s="1">
        <v>1.3</v>
      </c>
      <c r="AJ22" s="1">
        <v>1.35</v>
      </c>
      <c r="AK22" s="1">
        <v>1.4</v>
      </c>
      <c r="AL22" s="1">
        <v>1.45</v>
      </c>
      <c r="AM22" s="1">
        <v>1.5</v>
      </c>
      <c r="AN22" s="1">
        <v>1.55</v>
      </c>
      <c r="AO22" s="1">
        <v>1.6</v>
      </c>
      <c r="AP22" s="1">
        <v>1.65</v>
      </c>
      <c r="AQ22" s="1">
        <v>1.7</v>
      </c>
      <c r="AR22" s="1">
        <v>1.75</v>
      </c>
      <c r="AS22" s="1">
        <v>1.8</v>
      </c>
      <c r="AT22" s="1">
        <v>1.85</v>
      </c>
      <c r="AU22" s="1">
        <v>1.9</v>
      </c>
      <c r="AV22" s="1">
        <v>1.95</v>
      </c>
      <c r="AW22" s="1">
        <v>2</v>
      </c>
      <c r="AX22" s="1">
        <v>2.0499999999999998</v>
      </c>
      <c r="AY22" s="1">
        <v>2.1</v>
      </c>
      <c r="AZ22" s="1">
        <v>2.15</v>
      </c>
      <c r="BA22" s="1">
        <v>2.2000000000000002</v>
      </c>
      <c r="BB22" s="1">
        <v>2.25</v>
      </c>
      <c r="BC22" s="1">
        <v>2.2999999999999998</v>
      </c>
      <c r="BD22" s="1">
        <v>2.35</v>
      </c>
      <c r="BE22" s="1">
        <v>2.4</v>
      </c>
      <c r="BF22" s="1">
        <v>2.4500000000000002</v>
      </c>
      <c r="BG22" s="1">
        <v>2.5</v>
      </c>
      <c r="BH22" s="1">
        <v>2.5499999999999998</v>
      </c>
      <c r="BI22" s="1">
        <v>2.6</v>
      </c>
      <c r="BJ22" s="1">
        <v>2.65</v>
      </c>
      <c r="BK22" s="1">
        <v>2.7</v>
      </c>
      <c r="BL22" s="1">
        <v>2.75</v>
      </c>
      <c r="BM22" s="1">
        <v>2.8</v>
      </c>
      <c r="BN22" s="1">
        <v>2.85</v>
      </c>
      <c r="BO22" s="1">
        <v>2.9</v>
      </c>
      <c r="BP22" s="1">
        <v>2.95</v>
      </c>
      <c r="BQ22" s="1">
        <v>3</v>
      </c>
      <c r="BR22" s="1">
        <v>3.05</v>
      </c>
      <c r="BS22" s="1">
        <v>3.1</v>
      </c>
      <c r="BT22" s="1">
        <v>3.15</v>
      </c>
      <c r="BU22" s="1">
        <v>3.2</v>
      </c>
      <c r="BV22" s="1">
        <v>3.25</v>
      </c>
      <c r="BW22" s="1">
        <v>3.3</v>
      </c>
      <c r="BX22" s="1">
        <v>3.35</v>
      </c>
      <c r="BY22" s="1">
        <v>3.4</v>
      </c>
      <c r="BZ22" s="1">
        <v>3.45</v>
      </c>
      <c r="CA22" s="1">
        <v>3.5</v>
      </c>
      <c r="CB22" s="1">
        <v>3.55</v>
      </c>
      <c r="CC22" s="1">
        <v>3.6</v>
      </c>
      <c r="CD22" s="1">
        <v>3.65</v>
      </c>
      <c r="CE22" s="1">
        <v>3.7</v>
      </c>
      <c r="CF22" s="1">
        <v>3.75</v>
      </c>
      <c r="CG22" s="1">
        <v>3.8</v>
      </c>
      <c r="CH22" s="1">
        <v>3.85</v>
      </c>
      <c r="CI22" s="1">
        <v>3.9</v>
      </c>
      <c r="CJ22" s="1">
        <v>3.95</v>
      </c>
      <c r="CK22" s="1">
        <v>4</v>
      </c>
      <c r="CL22" s="1">
        <v>4.05</v>
      </c>
      <c r="CM22" s="1">
        <v>4.0999999999999996</v>
      </c>
      <c r="CN22" s="1">
        <v>4.1500000000000004</v>
      </c>
      <c r="CO22" s="1">
        <v>4.2</v>
      </c>
      <c r="CP22" s="1">
        <v>4.25</v>
      </c>
      <c r="CQ22" s="1">
        <v>4.3</v>
      </c>
      <c r="CR22" s="1">
        <v>4.3499999999999996</v>
      </c>
      <c r="CS22" s="1">
        <v>4.4000000000000004</v>
      </c>
      <c r="CT22" s="1">
        <v>4.45</v>
      </c>
      <c r="CU22" s="1">
        <v>4.5</v>
      </c>
      <c r="CV22" s="1">
        <v>4.55</v>
      </c>
      <c r="CW22" s="1">
        <v>4.5999999999999996</v>
      </c>
      <c r="CX22" s="1">
        <v>4.6500000000000004</v>
      </c>
      <c r="CY22" s="1">
        <v>4.7</v>
      </c>
      <c r="CZ22" s="1">
        <v>4.75</v>
      </c>
      <c r="DA22" s="1">
        <v>4.8</v>
      </c>
      <c r="DB22" s="1">
        <v>4.8499999999999996</v>
      </c>
      <c r="DC22" s="1">
        <v>4.9000000000000004</v>
      </c>
      <c r="DD22" s="1">
        <v>4.95</v>
      </c>
      <c r="DE22" s="1">
        <v>5</v>
      </c>
      <c r="DF22" s="1">
        <v>5.05</v>
      </c>
      <c r="DG22" s="1">
        <v>5.0999999999999996</v>
      </c>
      <c r="DH22" s="1">
        <v>5.15</v>
      </c>
      <c r="DI22" s="1">
        <v>5.2</v>
      </c>
      <c r="DJ22" s="1">
        <v>5.25</v>
      </c>
      <c r="DK22" s="1">
        <v>5.3</v>
      </c>
      <c r="DL22" s="1">
        <v>5.35</v>
      </c>
      <c r="DM22" s="1">
        <v>5.4</v>
      </c>
      <c r="DN22" s="1">
        <v>5.45</v>
      </c>
      <c r="DO22" s="1">
        <v>5.5</v>
      </c>
      <c r="DP22" s="1">
        <v>5.55</v>
      </c>
      <c r="DQ22" s="1">
        <v>5.6</v>
      </c>
      <c r="DR22" s="1">
        <v>5.65</v>
      </c>
      <c r="DS22" s="1">
        <v>5.7</v>
      </c>
      <c r="DT22" s="1">
        <v>5.75</v>
      </c>
      <c r="DU22" s="1">
        <v>5.8</v>
      </c>
      <c r="DV22" s="1">
        <v>5.85</v>
      </c>
      <c r="DW22" s="1">
        <v>5.9</v>
      </c>
      <c r="DX22" s="1">
        <v>5.95</v>
      </c>
      <c r="DY22" s="1">
        <v>6</v>
      </c>
      <c r="DZ22" s="1">
        <v>6.05</v>
      </c>
      <c r="EA22" s="1">
        <v>6.1</v>
      </c>
      <c r="EB22" s="1">
        <v>6.15</v>
      </c>
      <c r="EC22" s="1">
        <v>6.2</v>
      </c>
      <c r="ED22" s="1">
        <v>6.25</v>
      </c>
      <c r="EE22" s="1">
        <v>6.3</v>
      </c>
      <c r="EF22" s="1">
        <v>6.35</v>
      </c>
      <c r="EG22" s="1">
        <v>6.3999999999999897</v>
      </c>
      <c r="EH22" s="1">
        <v>6.4499999999999904</v>
      </c>
      <c r="EI22" s="1">
        <v>6.4999999999999902</v>
      </c>
      <c r="EJ22" s="1">
        <v>6.5499999999999901</v>
      </c>
      <c r="EK22" s="1">
        <v>6.5999999999999899</v>
      </c>
      <c r="EL22" s="1">
        <v>6.6499999999999897</v>
      </c>
      <c r="EM22" s="1">
        <v>6.6999999999999904</v>
      </c>
      <c r="EN22" s="1">
        <v>6.7499999999999902</v>
      </c>
      <c r="EO22" s="1">
        <v>6.7999999999999901</v>
      </c>
      <c r="EP22" s="1">
        <v>6.8499999999999899</v>
      </c>
      <c r="EQ22" s="1">
        <v>6.8999999999999897</v>
      </c>
      <c r="ER22" s="1">
        <v>6.9499999999999904</v>
      </c>
      <c r="ES22" s="1">
        <v>6.9999999999999902</v>
      </c>
      <c r="ET22" s="1">
        <v>7.0499999999999901</v>
      </c>
      <c r="EU22" s="1">
        <v>7.0999999999999899</v>
      </c>
      <c r="EV22" s="1">
        <v>7.1499999999999897</v>
      </c>
      <c r="EW22" s="1">
        <v>7.1999999999999904</v>
      </c>
      <c r="EX22" s="1">
        <v>7.2499999999999902</v>
      </c>
      <c r="EY22" s="1">
        <v>7.2999999999999901</v>
      </c>
      <c r="EZ22" s="1">
        <v>7.3499999999999899</v>
      </c>
      <c r="FA22" s="1">
        <v>7.3999999999999897</v>
      </c>
      <c r="FB22" s="1">
        <v>7.4499999999999904</v>
      </c>
      <c r="FC22" s="1">
        <v>7.4999999999999902</v>
      </c>
      <c r="FD22" s="1">
        <v>7.5499999999999901</v>
      </c>
      <c r="FE22" s="1">
        <v>7.5999999999999899</v>
      </c>
      <c r="FF22" s="1">
        <v>7.6499999999999897</v>
      </c>
      <c r="FG22" s="1">
        <v>7.6999999999999904</v>
      </c>
      <c r="FH22" s="1">
        <v>7.7499999999999902</v>
      </c>
      <c r="FI22" s="1">
        <v>7.7999999999999901</v>
      </c>
      <c r="FJ22" s="1">
        <v>7.8499999999999899</v>
      </c>
      <c r="FK22" s="1">
        <v>7.8999999999999897</v>
      </c>
      <c r="FL22" s="1">
        <v>7.9499999999999904</v>
      </c>
      <c r="FM22" s="1">
        <v>7.9999999999999902</v>
      </c>
      <c r="FN22" s="1">
        <v>8.0499999999999901</v>
      </c>
      <c r="FO22" s="1">
        <v>8.0999999999999908</v>
      </c>
      <c r="FP22" s="1">
        <v>8.1499999999999897</v>
      </c>
      <c r="FQ22" s="1">
        <v>8.1999999999999904</v>
      </c>
      <c r="FR22" s="1">
        <v>8.2499999999999893</v>
      </c>
      <c r="FS22" s="1">
        <v>8.2999999999999901</v>
      </c>
      <c r="FT22" s="1">
        <v>8.3499999999999908</v>
      </c>
      <c r="FU22" s="1">
        <v>8.3999999999999897</v>
      </c>
      <c r="FV22" s="1">
        <v>8.4499999999999904</v>
      </c>
      <c r="FW22" s="1">
        <v>8.4999999999999893</v>
      </c>
      <c r="FX22" s="1">
        <v>8.5499999999999901</v>
      </c>
      <c r="FY22" s="1">
        <v>8.5999999999999908</v>
      </c>
      <c r="FZ22" s="1">
        <v>8.6499999999999897</v>
      </c>
      <c r="GA22" s="1">
        <v>8.6999999999999904</v>
      </c>
      <c r="GB22" s="1">
        <v>8.7499999999999893</v>
      </c>
      <c r="GC22" s="1">
        <v>8.7999999999999901</v>
      </c>
      <c r="GD22" s="1">
        <v>8.8499999999999908</v>
      </c>
      <c r="GE22" s="1">
        <v>8.8999999999999897</v>
      </c>
      <c r="GF22" s="1">
        <v>8.9499999999999904</v>
      </c>
      <c r="GG22" s="1">
        <v>8.9999999999999893</v>
      </c>
      <c r="GH22" s="1">
        <v>9.0499999999999901</v>
      </c>
      <c r="GI22" s="1">
        <v>9.0999999999999908</v>
      </c>
      <c r="GJ22" s="1">
        <v>9.1499999999999897</v>
      </c>
      <c r="GK22" s="1">
        <v>9.1999999999999797</v>
      </c>
      <c r="GL22" s="1">
        <v>9.2499999999999805</v>
      </c>
      <c r="GM22" s="1">
        <v>9.2999999999999794</v>
      </c>
      <c r="GN22" s="1">
        <v>9.3499999999999801</v>
      </c>
      <c r="GO22" s="1">
        <v>9.3999999999999808</v>
      </c>
      <c r="GP22" s="1">
        <v>9.4499999999999797</v>
      </c>
      <c r="GQ22" s="1">
        <v>9.4999999999999805</v>
      </c>
      <c r="GR22" s="1">
        <v>9.5499999999999794</v>
      </c>
      <c r="GS22" s="1">
        <v>9.5999999999999801</v>
      </c>
      <c r="GT22" s="1">
        <v>9.6499999999999808</v>
      </c>
      <c r="GU22" s="1">
        <v>9.6999999999999797</v>
      </c>
      <c r="GV22" s="1">
        <v>9.7499999999999805</v>
      </c>
      <c r="GW22" s="1">
        <v>9.7999999999999794</v>
      </c>
      <c r="GX22" s="1">
        <v>9.8499999999999801</v>
      </c>
      <c r="GY22" s="1">
        <v>9.8999999999999808</v>
      </c>
      <c r="GZ22" s="1">
        <v>9.9499999999999797</v>
      </c>
      <c r="HA22" s="1">
        <v>9.9999999999999805</v>
      </c>
      <c r="HB22" s="1">
        <v>10.050000000000001</v>
      </c>
      <c r="HC22" s="1">
        <v>10.1</v>
      </c>
      <c r="HD22" s="1">
        <v>10.15</v>
      </c>
      <c r="HE22" s="1">
        <v>10.199999999999999</v>
      </c>
      <c r="HF22" s="1">
        <v>10.25</v>
      </c>
      <c r="HG22" s="1">
        <v>10.3</v>
      </c>
      <c r="HH22" s="1">
        <v>10.35</v>
      </c>
      <c r="HI22" s="1">
        <v>10.4</v>
      </c>
      <c r="HJ22" s="1">
        <v>10.45</v>
      </c>
      <c r="HK22" s="1">
        <v>10.5</v>
      </c>
      <c r="HL22" s="1">
        <v>10.55</v>
      </c>
      <c r="HM22" s="1">
        <v>10.6</v>
      </c>
      <c r="HN22" s="1">
        <v>10.65</v>
      </c>
      <c r="HO22" s="1">
        <v>10.7</v>
      </c>
      <c r="HP22" s="1">
        <v>10.75</v>
      </c>
      <c r="HQ22" s="1">
        <v>10.8</v>
      </c>
      <c r="HR22" s="1">
        <v>10.85</v>
      </c>
      <c r="HS22" s="1">
        <v>10.9</v>
      </c>
      <c r="HT22" s="1">
        <v>10.95</v>
      </c>
      <c r="HU22" s="1">
        <v>11</v>
      </c>
      <c r="HV22" s="1">
        <v>11.05</v>
      </c>
      <c r="HW22" s="1">
        <v>11.1</v>
      </c>
      <c r="HX22" s="1">
        <v>11.15</v>
      </c>
      <c r="HY22" s="1">
        <v>11.2</v>
      </c>
      <c r="HZ22" s="1">
        <v>11.25</v>
      </c>
      <c r="IA22" s="1">
        <v>11.3</v>
      </c>
      <c r="IB22" s="1">
        <v>11.35</v>
      </c>
      <c r="IC22" s="1">
        <v>11.4</v>
      </c>
      <c r="ID22" s="1">
        <v>11.45</v>
      </c>
      <c r="IE22" s="1">
        <v>11.5</v>
      </c>
      <c r="IF22" s="1">
        <v>11.55</v>
      </c>
      <c r="IG22" s="1">
        <v>11.6</v>
      </c>
      <c r="IH22" s="1">
        <v>11.65</v>
      </c>
      <c r="II22" s="1">
        <v>11.7</v>
      </c>
      <c r="IJ22" s="1">
        <v>11.75</v>
      </c>
      <c r="IK22" s="1">
        <v>11.8</v>
      </c>
      <c r="IL22" s="1">
        <v>11.85</v>
      </c>
      <c r="IM22" s="1">
        <v>11.9</v>
      </c>
      <c r="IN22" s="1">
        <v>11.95</v>
      </c>
      <c r="IO22" s="1">
        <v>12</v>
      </c>
      <c r="IP22" s="1">
        <v>12.05</v>
      </c>
      <c r="IQ22" s="1">
        <v>12.1</v>
      </c>
      <c r="IR22" s="1">
        <v>12.15</v>
      </c>
      <c r="IS22" s="1">
        <v>12.2</v>
      </c>
      <c r="IT22" s="1">
        <v>12.25</v>
      </c>
      <c r="IU22" s="1">
        <v>12.3</v>
      </c>
      <c r="IV22" s="1">
        <v>12.35</v>
      </c>
      <c r="IW22" s="1">
        <v>12.4</v>
      </c>
      <c r="IX22" s="1">
        <v>12.45</v>
      </c>
      <c r="IY22" s="1">
        <v>12.5</v>
      </c>
      <c r="IZ22" s="1">
        <v>12.55</v>
      </c>
      <c r="JA22" s="1">
        <v>12.6</v>
      </c>
      <c r="JB22" s="1">
        <v>12.65</v>
      </c>
      <c r="JC22" s="1">
        <v>12.7</v>
      </c>
      <c r="JD22" s="1">
        <v>12.75</v>
      </c>
      <c r="JE22" s="1">
        <v>12.8</v>
      </c>
      <c r="JF22" s="1">
        <v>12.85</v>
      </c>
      <c r="JG22" s="1">
        <v>12.9</v>
      </c>
      <c r="JH22" s="1">
        <v>12.95</v>
      </c>
      <c r="JI22" s="1">
        <v>13</v>
      </c>
      <c r="JJ22" s="1">
        <v>13.05</v>
      </c>
      <c r="JK22" s="1">
        <v>13.1</v>
      </c>
      <c r="JL22" s="1">
        <v>13.15</v>
      </c>
      <c r="JM22" s="1">
        <v>13.2</v>
      </c>
      <c r="JN22" s="1">
        <v>13.25</v>
      </c>
      <c r="JO22" s="1">
        <v>13.3</v>
      </c>
      <c r="JP22" s="1">
        <v>13.35</v>
      </c>
      <c r="JQ22" s="1">
        <v>13.4</v>
      </c>
      <c r="JR22" s="1">
        <v>13.45</v>
      </c>
      <c r="JS22" s="1">
        <v>13.5</v>
      </c>
      <c r="JT22" s="1">
        <v>13.55</v>
      </c>
      <c r="JU22" s="1">
        <v>13.6</v>
      </c>
      <c r="JV22" s="1">
        <v>13.65</v>
      </c>
      <c r="JW22" s="1">
        <v>13.7</v>
      </c>
      <c r="JX22" s="1">
        <v>13.75</v>
      </c>
      <c r="JY22" s="1">
        <v>13.8</v>
      </c>
      <c r="JZ22" s="1">
        <v>13.85</v>
      </c>
      <c r="KA22" s="1">
        <v>13.9</v>
      </c>
      <c r="KB22" s="1">
        <v>13.95</v>
      </c>
      <c r="KC22" s="1">
        <v>14</v>
      </c>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row>
    <row r="23" spans="3:630" x14ac:dyDescent="0.25">
      <c r="C23">
        <f>C24+0.8</f>
        <v>3.2625000000000002</v>
      </c>
      <c r="D23">
        <v>0.89</v>
      </c>
      <c r="E23">
        <f>D23/2</f>
        <v>0.44500000000000001</v>
      </c>
      <c r="F23">
        <f>(0.66*E23)</f>
        <v>0.29370000000000002</v>
      </c>
      <c r="G23">
        <v>0.8</v>
      </c>
      <c r="J23">
        <f t="shared" ref="J23:J32" si="0">($E23*TAN(RADIANS(J$22)))*$E23*$G23*1000*9.81*(((0.66*($E23/(COS(RADIANS(J$22)))))+(0.66*$E23))/2)</f>
        <v>0.39831854578535814</v>
      </c>
      <c r="K23">
        <f t="shared" ref="K23:BV24" si="1">($E23*TAN(RADIANS(K$22)))*$E23*$G23*1000*9.81*(((0.66*($E23/(COS(RADIANS(K$22)))))+(0.66*$E23))/2)</f>
        <v>0.7966381532516853</v>
      </c>
      <c r="L23">
        <f t="shared" si="1"/>
        <v>1.194959884088844</v>
      </c>
      <c r="M23">
        <f t="shared" si="1"/>
        <v>1.5932848000044844</v>
      </c>
      <c r="N23">
        <f t="shared" si="1"/>
        <v>1.9916139627329386</v>
      </c>
      <c r="O23">
        <f t="shared" si="1"/>
        <v>2.3899484340441139</v>
      </c>
      <c r="P23">
        <f t="shared" si="1"/>
        <v>2.7882892757523909</v>
      </c>
      <c r="Q23">
        <f t="shared" si="1"/>
        <v>3.1866375497255168</v>
      </c>
      <c r="R23">
        <f t="shared" si="1"/>
        <v>3.5849943178935004</v>
      </c>
      <c r="S23">
        <f t="shared" si="1"/>
        <v>3.9833606422575181</v>
      </c>
      <c r="T23">
        <f t="shared" si="1"/>
        <v>4.3817375848988034</v>
      </c>
      <c r="U23">
        <f t="shared" si="1"/>
        <v>4.7801262079875473</v>
      </c>
      <c r="V23">
        <f t="shared" si="1"/>
        <v>5.1785275737918139</v>
      </c>
      <c r="W23">
        <f t="shared" si="1"/>
        <v>5.5769427446864208</v>
      </c>
      <c r="X23">
        <f t="shared" si="1"/>
        <v>5.9753727831618697</v>
      </c>
      <c r="Y23">
        <f t="shared" si="1"/>
        <v>6.3738187518332303</v>
      </c>
      <c r="Z23">
        <f t="shared" si="1"/>
        <v>6.772281713449062</v>
      </c>
      <c r="AA23">
        <f t="shared" si="1"/>
        <v>7.1707627309003286</v>
      </c>
      <c r="AB23">
        <f t="shared" si="1"/>
        <v>7.569262867229301</v>
      </c>
      <c r="AC23">
        <f t="shared" si="1"/>
        <v>7.9677831856384769</v>
      </c>
      <c r="AD23">
        <f t="shared" si="1"/>
        <v>8.366324749499503</v>
      </c>
      <c r="AE23">
        <f t="shared" si="1"/>
        <v>8.7648886223620934</v>
      </c>
      <c r="AF23">
        <f t="shared" si="1"/>
        <v>9.1634758679629567</v>
      </c>
      <c r="AG23">
        <f t="shared" si="1"/>
        <v>9.5620875502347165</v>
      </c>
      <c r="AH23">
        <f t="shared" si="1"/>
        <v>9.9607247333148532</v>
      </c>
      <c r="AI23">
        <f t="shared" si="1"/>
        <v>10.359388481554628</v>
      </c>
      <c r="AJ23">
        <f t="shared" si="1"/>
        <v>10.758079859528022</v>
      </c>
      <c r="AK23">
        <f t="shared" si="1"/>
        <v>11.156799932040684</v>
      </c>
      <c r="AL23">
        <f t="shared" si="1"/>
        <v>11.555549764138874</v>
      </c>
      <c r="AM23">
        <f t="shared" si="1"/>
        <v>11.954330421118399</v>
      </c>
      <c r="AN23">
        <f t="shared" si="1"/>
        <v>12.353142968533579</v>
      </c>
      <c r="AO23">
        <f t="shared" si="1"/>
        <v>12.751988472206202</v>
      </c>
      <c r="AP23">
        <f t="shared" si="1"/>
        <v>13.150867998234489</v>
      </c>
      <c r="AQ23">
        <f t="shared" si="1"/>
        <v>13.549782613002064</v>
      </c>
      <c r="AR23">
        <f t="shared" si="1"/>
        <v>13.948733383186886</v>
      </c>
      <c r="AS23">
        <f t="shared" si="1"/>
        <v>14.347721375770293</v>
      </c>
      <c r="AT23">
        <f t="shared" si="1"/>
        <v>14.746747658045914</v>
      </c>
      <c r="AU23">
        <f t="shared" si="1"/>
        <v>15.145813297628703</v>
      </c>
      <c r="AV23">
        <f t="shared" si="1"/>
        <v>15.544919362463915</v>
      </c>
      <c r="AW23">
        <f t="shared" si="1"/>
        <v>15.944066920836093</v>
      </c>
      <c r="AX23">
        <f t="shared" si="1"/>
        <v>16.343257041378077</v>
      </c>
      <c r="AY23">
        <f t="shared" si="1"/>
        <v>16.74249079308002</v>
      </c>
      <c r="AZ23">
        <f t="shared" si="1"/>
        <v>17.141769245298381</v>
      </c>
      <c r="BA23">
        <f t="shared" si="1"/>
        <v>17.541093467764984</v>
      </c>
      <c r="BB23">
        <f t="shared" si="1"/>
        <v>17.940464530595978</v>
      </c>
      <c r="BC23">
        <f t="shared" si="1"/>
        <v>18.339883504300936</v>
      </c>
      <c r="BD23">
        <f t="shared" si="1"/>
        <v>18.739351459791873</v>
      </c>
      <c r="BE23">
        <f t="shared" si="1"/>
        <v>19.138869468392262</v>
      </c>
      <c r="BF23">
        <f t="shared" si="1"/>
        <v>19.538438601846124</v>
      </c>
      <c r="BG23">
        <f t="shared" si="1"/>
        <v>19.938059932327061</v>
      </c>
      <c r="BH23">
        <f t="shared" si="1"/>
        <v>20.337734532447346</v>
      </c>
      <c r="BI23">
        <f t="shared" si="1"/>
        <v>20.737463475266967</v>
      </c>
      <c r="BJ23">
        <f t="shared" si="1"/>
        <v>21.137247834302741</v>
      </c>
      <c r="BK23">
        <f t="shared" si="1"/>
        <v>21.537088683537377</v>
      </c>
      <c r="BL23">
        <f t="shared" si="1"/>
        <v>21.936987097428563</v>
      </c>
      <c r="BM23">
        <f t="shared" si="1"/>
        <v>22.336944150918114</v>
      </c>
      <c r="BN23">
        <f t="shared" si="1"/>
        <v>22.736960919441056</v>
      </c>
      <c r="BO23">
        <f t="shared" si="1"/>
        <v>23.137038478934702</v>
      </c>
      <c r="BP23">
        <f t="shared" si="1"/>
        <v>23.53717790584788</v>
      </c>
      <c r="BQ23">
        <f t="shared" si="1"/>
        <v>23.93738027714997</v>
      </c>
      <c r="BR23">
        <f t="shared" si="1"/>
        <v>24.337646670340106</v>
      </c>
      <c r="BS23">
        <f t="shared" si="1"/>
        <v>24.737978163456326</v>
      </c>
      <c r="BT23">
        <f t="shared" si="1"/>
        <v>25.13837583508473</v>
      </c>
      <c r="BU23">
        <f t="shared" si="1"/>
        <v>25.538840764368608</v>
      </c>
      <c r="BV23">
        <f t="shared" si="1"/>
        <v>25.939374031017714</v>
      </c>
      <c r="BW23">
        <f t="shared" ref="BW23:DF27" si="2">($E23*TAN(RADIANS(BW$22)))*$E23*$G23*1000*9.81*(((0.66*($E23/(COS(RADIANS(BW$22)))))+(0.66*$E23))/2)</f>
        <v>26.339976715317317</v>
      </c>
      <c r="BX23">
        <f t="shared" si="2"/>
        <v>26.740649898137598</v>
      </c>
      <c r="BY23">
        <f t="shared" si="2"/>
        <v>27.141394660942641</v>
      </c>
      <c r="BZ23">
        <f t="shared" si="2"/>
        <v>27.542212085799811</v>
      </c>
      <c r="CA23">
        <f t="shared" si="2"/>
        <v>27.943103255388948</v>
      </c>
      <c r="CB23">
        <f t="shared" si="2"/>
        <v>28.344069253011519</v>
      </c>
      <c r="CC23">
        <f t="shared" si="2"/>
        <v>28.745111162600011</v>
      </c>
      <c r="CD23">
        <f t="shared" si="2"/>
        <v>29.146230068727057</v>
      </c>
      <c r="CE23">
        <f t="shared" si="2"/>
        <v>29.547427056614794</v>
      </c>
      <c r="CF23">
        <f t="shared" si="2"/>
        <v>29.948703212144114</v>
      </c>
      <c r="CG23">
        <f t="shared" si="2"/>
        <v>30.35005962186397</v>
      </c>
      <c r="CH23">
        <f t="shared" si="2"/>
        <v>30.751497373000635</v>
      </c>
      <c r="CI23">
        <f t="shared" si="2"/>
        <v>31.153017553467073</v>
      </c>
      <c r="CJ23">
        <f t="shared" si="2"/>
        <v>31.554621251872241</v>
      </c>
      <c r="CK23">
        <f t="shared" si="2"/>
        <v>31.956309557530414</v>
      </c>
      <c r="CL23">
        <f t="shared" si="2"/>
        <v>32.35808356047054</v>
      </c>
      <c r="CM23">
        <f t="shared" si="2"/>
        <v>32.75994435144564</v>
      </c>
      <c r="CN23">
        <f t="shared" si="2"/>
        <v>33.161893021942113</v>
      </c>
      <c r="CO23">
        <f t="shared" si="2"/>
        <v>33.563930664189172</v>
      </c>
      <c r="CP23">
        <f t="shared" si="2"/>
        <v>33.966058371168216</v>
      </c>
      <c r="CQ23">
        <f t="shared" si="2"/>
        <v>34.368277236622248</v>
      </c>
      <c r="CR23">
        <f t="shared" si="2"/>
        <v>34.770588355065321</v>
      </c>
      <c r="CS23">
        <f t="shared" si="2"/>
        <v>35.172992821791937</v>
      </c>
      <c r="CT23">
        <f t="shared" si="2"/>
        <v>35.575491732886483</v>
      </c>
      <c r="CU23">
        <f t="shared" si="2"/>
        <v>35.978086185232733</v>
      </c>
      <c r="CV23">
        <f t="shared" si="2"/>
        <v>36.380777276523347</v>
      </c>
      <c r="CW23">
        <f t="shared" si="2"/>
        <v>36.78356610526928</v>
      </c>
      <c r="CX23">
        <f t="shared" si="2"/>
        <v>37.186453770809308</v>
      </c>
      <c r="CY23">
        <f t="shared" si="2"/>
        <v>37.58944137331958</v>
      </c>
      <c r="CZ23">
        <f t="shared" si="2"/>
        <v>37.992530013823163</v>
      </c>
      <c r="DA23">
        <f t="shared" si="2"/>
        <v>38.395720794199455</v>
      </c>
      <c r="DB23">
        <f t="shared" si="2"/>
        <v>38.799014817193942</v>
      </c>
      <c r="DC23">
        <f t="shared" si="2"/>
        <v>39.202413186427599</v>
      </c>
      <c r="DD23">
        <f t="shared" si="2"/>
        <v>39.60591700640655</v>
      </c>
      <c r="DE23">
        <f t="shared" si="2"/>
        <v>40.009527382531658</v>
      </c>
      <c r="DF23">
        <f t="shared" si="2"/>
        <v>40.413245421108151</v>
      </c>
      <c r="DG23">
        <f t="shared" ref="DG23:EL23" si="3">($E23*TAN(RADIANS(DG$22)))*$E23*$G23*1000*9.81*(((0.66*($E23/(COS(RADIANS(DG$22)))))+(0.66*$E23))/2)</f>
        <v>40.817072229355283</v>
      </c>
      <c r="DH23">
        <f t="shared" si="3"/>
        <v>41.221008915415894</v>
      </c>
      <c r="DI23">
        <f t="shared" si="3"/>
        <v>41.625056588366114</v>
      </c>
      <c r="DJ23">
        <f t="shared" si="3"/>
        <v>42.029216358225099</v>
      </c>
      <c r="DK23">
        <f t="shared" si="3"/>
        <v>42.433489335964666</v>
      </c>
      <c r="DL23">
        <f t="shared" si="3"/>
        <v>42.837876633518945</v>
      </c>
      <c r="DM23">
        <f t="shared" si="3"/>
        <v>43.242379363794257</v>
      </c>
      <c r="DN23">
        <f t="shared" si="3"/>
        <v>43.646998640678703</v>
      </c>
      <c r="DO23">
        <f t="shared" si="3"/>
        <v>44.051735579052036</v>
      </c>
      <c r="DP23">
        <f t="shared" si="3"/>
        <v>44.456591294795366</v>
      </c>
      <c r="DQ23">
        <f t="shared" si="3"/>
        <v>44.861566904800938</v>
      </c>
      <c r="DR23">
        <f t="shared" si="3"/>
        <v>45.266663526982029</v>
      </c>
      <c r="DS23">
        <f t="shared" si="3"/>
        <v>45.671882280282702</v>
      </c>
      <c r="DT23">
        <f t="shared" si="3"/>
        <v>46.077224284687645</v>
      </c>
      <c r="DU23">
        <f t="shared" si="3"/>
        <v>46.482690661232105</v>
      </c>
      <c r="DV23">
        <f t="shared" si="3"/>
        <v>46.888282532011601</v>
      </c>
      <c r="DW23">
        <f t="shared" si="3"/>
        <v>47.294001020192056</v>
      </c>
      <c r="DX23">
        <f t="shared" si="3"/>
        <v>47.699847250019552</v>
      </c>
      <c r="DY23">
        <f t="shared" si="3"/>
        <v>48.105822346830223</v>
      </c>
      <c r="DZ23">
        <f t="shared" si="3"/>
        <v>48.511927437060343</v>
      </c>
      <c r="EA23">
        <f t="shared" si="3"/>
        <v>48.918163648256233</v>
      </c>
      <c r="EB23">
        <f t="shared" si="3"/>
        <v>49.32453210908421</v>
      </c>
      <c r="EC23">
        <f t="shared" si="3"/>
        <v>49.731033949340606</v>
      </c>
      <c r="ED23">
        <f t="shared" si="3"/>
        <v>50.137670299961897</v>
      </c>
      <c r="EE23">
        <f t="shared" si="3"/>
        <v>50.544442293034543</v>
      </c>
      <c r="EF23">
        <f t="shared" si="3"/>
        <v>50.951351061805305</v>
      </c>
      <c r="EG23">
        <f t="shared" si="3"/>
        <v>51.358397740690975</v>
      </c>
      <c r="EH23">
        <f t="shared" si="3"/>
        <v>51.765583465289055</v>
      </c>
      <c r="EI23">
        <f t="shared" si="3"/>
        <v>52.172909372387203</v>
      </c>
      <c r="EJ23">
        <f t="shared" si="3"/>
        <v>52.580376599973818</v>
      </c>
      <c r="EK23">
        <f t="shared" si="3"/>
        <v>52.987986287248035</v>
      </c>
      <c r="EL23">
        <f t="shared" si="3"/>
        <v>53.395739574629978</v>
      </c>
      <c r="EM23">
        <f t="shared" ref="EM23:FR23" si="4">($E23*TAN(RADIANS(EM$22)))*$E23*$G23*1000*9.81*(((0.66*($E23/(COS(RADIANS(EM$22)))))+(0.66*$E23))/2)</f>
        <v>53.803637603770952</v>
      </c>
      <c r="EN23">
        <f t="shared" si="4"/>
        <v>54.21168151756364</v>
      </c>
      <c r="EO23">
        <f t="shared" si="4"/>
        <v>54.61987246015233</v>
      </c>
      <c r="EP23">
        <f t="shared" si="4"/>
        <v>55.028211576943271</v>
      </c>
      <c r="EQ23">
        <f t="shared" si="4"/>
        <v>55.436700014614843</v>
      </c>
      <c r="ER23">
        <f t="shared" si="4"/>
        <v>55.845338921128004</v>
      </c>
      <c r="ES23">
        <f t="shared" si="4"/>
        <v>56.25412944573641</v>
      </c>
      <c r="ET23">
        <f t="shared" si="4"/>
        <v>56.66307273899708</v>
      </c>
      <c r="EU23">
        <f t="shared" si="4"/>
        <v>57.072169952780442</v>
      </c>
      <c r="EV23">
        <f t="shared" si="4"/>
        <v>57.481422240280963</v>
      </c>
      <c r="EW23">
        <f t="shared" si="4"/>
        <v>57.890830756027484</v>
      </c>
      <c r="EX23">
        <f t="shared" si="4"/>
        <v>58.3003966558936</v>
      </c>
      <c r="EY23">
        <f t="shared" si="4"/>
        <v>58.710121097108285</v>
      </c>
      <c r="EZ23">
        <f t="shared" si="4"/>
        <v>59.120005238266224</v>
      </c>
      <c r="FA23">
        <f t="shared" si="4"/>
        <v>59.530050239338415</v>
      </c>
      <c r="FB23">
        <f t="shared" si="4"/>
        <v>59.94025726168266</v>
      </c>
      <c r="FC23">
        <f t="shared" si="4"/>
        <v>60.350627468054171</v>
      </c>
      <c r="FD23">
        <f t="shared" si="4"/>
        <v>60.761162022616091</v>
      </c>
      <c r="FE23">
        <f t="shared" si="4"/>
        <v>61.171862090950114</v>
      </c>
      <c r="FF23">
        <f t="shared" si="4"/>
        <v>61.582728840067197</v>
      </c>
      <c r="FG23">
        <f t="shared" si="4"/>
        <v>61.993763438418121</v>
      </c>
      <c r="FH23">
        <f t="shared" si="4"/>
        <v>62.404967055904187</v>
      </c>
      <c r="FI23">
        <f t="shared" si="4"/>
        <v>62.816340863887952</v>
      </c>
      <c r="FJ23">
        <f t="shared" si="4"/>
        <v>63.227886035203916</v>
      </c>
      <c r="FK23">
        <f t="shared" si="4"/>
        <v>63.639603744169314</v>
      </c>
      <c r="FL23">
        <f t="shared" si="4"/>
        <v>64.051495166594918</v>
      </c>
      <c r="FM23">
        <f t="shared" si="4"/>
        <v>64.463561479795757</v>
      </c>
      <c r="FN23">
        <f t="shared" si="4"/>
        <v>64.875803862602012</v>
      </c>
      <c r="FO23">
        <f t="shared" si="4"/>
        <v>65.288223495369905</v>
      </c>
      <c r="FP23">
        <f t="shared" si="4"/>
        <v>65.700821559992406</v>
      </c>
      <c r="FQ23">
        <f t="shared" si="4"/>
        <v>66.113599239910457</v>
      </c>
      <c r="FR23">
        <f t="shared" si="4"/>
        <v>66.526557720123535</v>
      </c>
      <c r="FS23">
        <f t="shared" ref="FS23:ID26" si="5">($E23*TAN(RADIANS(FS$22)))*$E23*$G23*1000*9.81*(((0.66*($E23/(COS(RADIANS(FS$22)))))+(0.66*$E23))/2)</f>
        <v>66.939698187200975</v>
      </c>
      <c r="FT23">
        <f t="shared" si="5"/>
        <v>67.353021829292686</v>
      </c>
      <c r="FU23">
        <f t="shared" si="5"/>
        <v>67.766529836140236</v>
      </c>
      <c r="FV23">
        <f t="shared" si="5"/>
        <v>68.18022339908805</v>
      </c>
      <c r="FW23">
        <f t="shared" si="5"/>
        <v>68.594103711094249</v>
      </c>
      <c r="FX23">
        <f t="shared" si="5"/>
        <v>69.008171966741941</v>
      </c>
      <c r="FY23">
        <f t="shared" si="5"/>
        <v>69.422429362250199</v>
      </c>
      <c r="FZ23">
        <f t="shared" si="5"/>
        <v>69.836877095485335</v>
      </c>
      <c r="GA23">
        <f t="shared" si="5"/>
        <v>70.251516365972023</v>
      </c>
      <c r="GB23">
        <f t="shared" si="5"/>
        <v>70.666348374904501</v>
      </c>
      <c r="GC23">
        <f t="shared" si="5"/>
        <v>71.081374325157896</v>
      </c>
      <c r="GD23">
        <f t="shared" si="5"/>
        <v>71.496595421299347</v>
      </c>
      <c r="GE23">
        <f t="shared" si="5"/>
        <v>71.912012869599451</v>
      </c>
      <c r="GF23">
        <f t="shared" si="5"/>
        <v>72.327627878043558</v>
      </c>
      <c r="GG23">
        <f t="shared" si="5"/>
        <v>72.743441656342966</v>
      </c>
      <c r="GH23">
        <f t="shared" si="5"/>
        <v>73.159455415946638</v>
      </c>
      <c r="GI23">
        <f t="shared" si="5"/>
        <v>73.575670370052293</v>
      </c>
      <c r="GJ23">
        <f t="shared" si="5"/>
        <v>73.992087733618035</v>
      </c>
      <c r="GK23">
        <f t="shared" si="5"/>
        <v>74.408708723373692</v>
      </c>
      <c r="GL23">
        <f t="shared" si="5"/>
        <v>74.825534557832725</v>
      </c>
      <c r="GM23">
        <f t="shared" si="5"/>
        <v>75.242566457303099</v>
      </c>
      <c r="GN23">
        <f t="shared" si="5"/>
        <v>75.659805643899489</v>
      </c>
      <c r="GO23">
        <f t="shared" si="5"/>
        <v>76.077253341554439</v>
      </c>
      <c r="GP23">
        <f t="shared" si="5"/>
        <v>76.494910776030252</v>
      </c>
      <c r="GQ23">
        <f t="shared" si="5"/>
        <v>76.912779174930606</v>
      </c>
      <c r="GR23">
        <f t="shared" si="5"/>
        <v>77.330859767712212</v>
      </c>
      <c r="GS23">
        <f t="shared" si="5"/>
        <v>77.749153785696521</v>
      </c>
      <c r="GT23">
        <f t="shared" si="5"/>
        <v>78.16766246208158</v>
      </c>
      <c r="GU23">
        <f t="shared" si="5"/>
        <v>78.586387031953791</v>
      </c>
      <c r="GV23">
        <f t="shared" si="5"/>
        <v>79.005328732299603</v>
      </c>
      <c r="GW23">
        <f t="shared" si="5"/>
        <v>79.424488802017677</v>
      </c>
      <c r="GX23">
        <f t="shared" si="5"/>
        <v>79.8438684819305</v>
      </c>
      <c r="GY23">
        <f t="shared" si="5"/>
        <v>80.263469014796442</v>
      </c>
      <c r="GZ23">
        <f t="shared" si="5"/>
        <v>80.683291645321646</v>
      </c>
      <c r="HA23">
        <f t="shared" si="5"/>
        <v>81.103337620172184</v>
      </c>
      <c r="HB23">
        <f t="shared" si="5"/>
        <v>81.523608187986071</v>
      </c>
      <c r="HC23">
        <f t="shared" si="5"/>
        <v>81.944104599384758</v>
      </c>
      <c r="HD23">
        <f t="shared" si="5"/>
        <v>82.364828106986195</v>
      </c>
      <c r="HE23">
        <f t="shared" si="5"/>
        <v>82.785779965416381</v>
      </c>
      <c r="HF23">
        <f t="shared" si="5"/>
        <v>83.206961431321659</v>
      </c>
      <c r="HG23">
        <f t="shared" si="5"/>
        <v>83.628373763380807</v>
      </c>
      <c r="HH23">
        <f t="shared" si="5"/>
        <v>84.050018222317476</v>
      </c>
      <c r="HI23">
        <f t="shared" si="5"/>
        <v>84.471896070912322</v>
      </c>
      <c r="HJ23">
        <f t="shared" si="5"/>
        <v>84.89400857401543</v>
      </c>
      <c r="HK23">
        <f t="shared" si="5"/>
        <v>85.316356998558618</v>
      </c>
      <c r="HL23">
        <f t="shared" si="5"/>
        <v>85.73894261356773</v>
      </c>
      <c r="HM23">
        <f t="shared" si="5"/>
        <v>86.161766690175227</v>
      </c>
      <c r="HN23">
        <f t="shared" si="5"/>
        <v>86.584830501632581</v>
      </c>
      <c r="HO23">
        <f t="shared" si="5"/>
        <v>87.008135323322776</v>
      </c>
      <c r="HP23">
        <f t="shared" si="5"/>
        <v>87.431682432772789</v>
      </c>
      <c r="HQ23">
        <f t="shared" si="5"/>
        <v>87.855473109666221</v>
      </c>
      <c r="HR23">
        <f t="shared" si="5"/>
        <v>88.279508635855962</v>
      </c>
      <c r="HS23">
        <f t="shared" si="5"/>
        <v>88.703790295376777</v>
      </c>
      <c r="HT23">
        <f t="shared" si="5"/>
        <v>89.128319374457945</v>
      </c>
      <c r="HU23">
        <f t="shared" si="5"/>
        <v>89.553097161536101</v>
      </c>
      <c r="HV23">
        <f t="shared" si="5"/>
        <v>89.978124947268029</v>
      </c>
      <c r="HW23">
        <f t="shared" si="5"/>
        <v>90.403404024543192</v>
      </c>
      <c r="HX23">
        <f t="shared" si="5"/>
        <v>90.82893568849704</v>
      </c>
      <c r="HY23">
        <f t="shared" si="5"/>
        <v>91.254721236523523</v>
      </c>
      <c r="HZ23">
        <f t="shared" si="5"/>
        <v>91.680761968288081</v>
      </c>
      <c r="IA23">
        <f t="shared" si="5"/>
        <v>92.107059185740809</v>
      </c>
      <c r="IB23">
        <f t="shared" si="5"/>
        <v>92.533614193129253</v>
      </c>
      <c r="IC23">
        <f t="shared" si="5"/>
        <v>92.960428297011518</v>
      </c>
      <c r="ID23">
        <f t="shared" si="5"/>
        <v>93.387502806269509</v>
      </c>
      <c r="IE23">
        <f t="shared" ref="IE23:KC25" si="6">($E23*TAN(RADIANS(IE$22)))*$E23*$G23*1000*9.81*(((0.66*($E23/(COS(RADIANS(IE$22)))))+(0.66*$E23))/2)</f>
        <v>93.814839032121782</v>
      </c>
      <c r="IF23">
        <f t="shared" si="6"/>
        <v>94.242438288137095</v>
      </c>
      <c r="IG23">
        <f t="shared" si="6"/>
        <v>94.67030189024716</v>
      </c>
      <c r="IH23">
        <f t="shared" si="6"/>
        <v>95.098431156760327</v>
      </c>
      <c r="II23">
        <f t="shared" si="6"/>
        <v>95.526827408374601</v>
      </c>
      <c r="IJ23">
        <f t="shared" si="6"/>
        <v>95.955491968191254</v>
      </c>
      <c r="IK23">
        <f t="shared" si="6"/>
        <v>96.384426161727902</v>
      </c>
      <c r="IL23">
        <f t="shared" si="6"/>
        <v>96.81363131693216</v>
      </c>
      <c r="IM23">
        <f t="shared" si="6"/>
        <v>97.2431087641951</v>
      </c>
      <c r="IN23">
        <f t="shared" si="6"/>
        <v>97.672859836364694</v>
      </c>
      <c r="IO23">
        <f t="shared" si="6"/>
        <v>98.102885868759316</v>
      </c>
      <c r="IP23">
        <f t="shared" si="6"/>
        <v>98.533188199181595</v>
      </c>
      <c r="IQ23">
        <f t="shared" si="6"/>
        <v>98.963768167931889</v>
      </c>
      <c r="IR23">
        <f t="shared" si="6"/>
        <v>99.394627117821955</v>
      </c>
      <c r="IS23">
        <f t="shared" si="6"/>
        <v>99.825766394188733</v>
      </c>
      <c r="IT23">
        <f t="shared" si="6"/>
        <v>100.25718734490826</v>
      </c>
      <c r="IU23">
        <f t="shared" si="6"/>
        <v>100.68889132040935</v>
      </c>
      <c r="IV23">
        <f t="shared" si="6"/>
        <v>101.1208796736875</v>
      </c>
      <c r="IW23">
        <f t="shared" si="6"/>
        <v>101.55315376031886</v>
      </c>
      <c r="IX23">
        <f t="shared" si="6"/>
        <v>101.98571493847427</v>
      </c>
      <c r="IY23">
        <f t="shared" si="6"/>
        <v>102.41856456893315</v>
      </c>
      <c r="IZ23">
        <f t="shared" si="6"/>
        <v>102.8517040150976</v>
      </c>
      <c r="JA23">
        <f t="shared" si="6"/>
        <v>103.28513464300661</v>
      </c>
      <c r="JB23">
        <f t="shared" si="6"/>
        <v>103.71885782135011</v>
      </c>
      <c r="JC23">
        <f t="shared" si="6"/>
        <v>104.15287492148325</v>
      </c>
      <c r="JD23">
        <f t="shared" si="6"/>
        <v>104.58718731744075</v>
      </c>
      <c r="JE23">
        <f t="shared" si="6"/>
        <v>105.02179638595094</v>
      </c>
      <c r="JF23">
        <f t="shared" si="6"/>
        <v>105.45670350645041</v>
      </c>
      <c r="JG23">
        <f t="shared" si="6"/>
        <v>105.8919100610983</v>
      </c>
      <c r="JH23">
        <f t="shared" si="6"/>
        <v>106.32741743479075</v>
      </c>
      <c r="JI23">
        <f t="shared" si="6"/>
        <v>106.76322701517543</v>
      </c>
      <c r="JJ23">
        <f t="shared" si="6"/>
        <v>107.19934019266607</v>
      </c>
      <c r="JK23">
        <f t="shared" si="6"/>
        <v>107.6357583604571</v>
      </c>
      <c r="JL23">
        <f t="shared" si="6"/>
        <v>108.07248291453843</v>
      </c>
      <c r="JM23">
        <f t="shared" si="6"/>
        <v>108.50951525370981</v>
      </c>
      <c r="JN23">
        <f t="shared" si="6"/>
        <v>108.94685677959605</v>
      </c>
      <c r="JO23">
        <f t="shared" si="6"/>
        <v>109.38450889666159</v>
      </c>
      <c r="JP23">
        <f t="shared" si="6"/>
        <v>109.82247301222525</v>
      </c>
      <c r="JQ23">
        <f t="shared" si="6"/>
        <v>110.26075053647546</v>
      </c>
      <c r="JR23">
        <f t="shared" si="6"/>
        <v>110.69934288248501</v>
      </c>
      <c r="JS23">
        <f t="shared" si="6"/>
        <v>111.13825146622617</v>
      </c>
      <c r="JT23">
        <f t="shared" si="6"/>
        <v>111.57747770658574</v>
      </c>
      <c r="JU23">
        <f t="shared" si="6"/>
        <v>112.01702302538021</v>
      </c>
      <c r="JV23">
        <f t="shared" si="6"/>
        <v>112.45688884737089</v>
      </c>
      <c r="JW23">
        <f t="shared" si="6"/>
        <v>112.89707660027932</v>
      </c>
      <c r="JX23">
        <f t="shared" si="6"/>
        <v>113.33758771480234</v>
      </c>
      <c r="JY23">
        <f t="shared" si="6"/>
        <v>113.77842362462755</v>
      </c>
      <c r="JZ23">
        <f t="shared" si="6"/>
        <v>114.21958576644877</v>
      </c>
      <c r="KA23">
        <f t="shared" si="6"/>
        <v>114.66107557998157</v>
      </c>
      <c r="KB23">
        <f t="shared" si="6"/>
        <v>115.1028945079785</v>
      </c>
      <c r="KC23">
        <f t="shared" si="6"/>
        <v>115.54504399624504</v>
      </c>
    </row>
    <row r="24" spans="3:630" x14ac:dyDescent="0.25">
      <c r="C24">
        <f>C25+0.8</f>
        <v>2.4625000000000004</v>
      </c>
      <c r="D24">
        <v>0.97</v>
      </c>
      <c r="E24">
        <f t="shared" ref="E24:E32" si="7">D24/2</f>
        <v>0.48499999999999999</v>
      </c>
      <c r="F24">
        <f t="shared" ref="F24:F32" si="8">0.66*E24</f>
        <v>0.3201</v>
      </c>
      <c r="G24">
        <v>0.8</v>
      </c>
      <c r="J24">
        <f t="shared" si="0"/>
        <v>0.51567456460860006</v>
      </c>
      <c r="K24">
        <f t="shared" ref="K24:Y24" si="9">($E24*TAN(RADIANS(K$22)))*$E24*$G24*1000*9.81*(((0.66*($E24/(COS(RADIANS(K$22)))))+(0.66*$E24))/2)</f>
        <v>1.0313505036997022</v>
      </c>
      <c r="L24">
        <f t="shared" si="9"/>
        <v>1.547029191767322</v>
      </c>
      <c r="M24">
        <f t="shared" si="9"/>
        <v>2.0627120033285045</v>
      </c>
      <c r="N24">
        <f t="shared" si="9"/>
        <v>2.5784003129348365</v>
      </c>
      <c r="O24">
        <f t="shared" si="9"/>
        <v>3.0940954951839625</v>
      </c>
      <c r="P24">
        <f t="shared" si="9"/>
        <v>3.6097989247311038</v>
      </c>
      <c r="Q24">
        <f t="shared" si="9"/>
        <v>4.1255119763005696</v>
      </c>
      <c r="R24">
        <f t="shared" si="9"/>
        <v>4.6412360246972773</v>
      </c>
      <c r="S24">
        <f t="shared" si="9"/>
        <v>5.1569724448182761</v>
      </c>
      <c r="T24">
        <f t="shared" si="9"/>
        <v>5.6727226116642644</v>
      </c>
      <c r="U24">
        <f t="shared" si="9"/>
        <v>6.188487900351106</v>
      </c>
      <c r="V24">
        <f t="shared" si="9"/>
        <v>6.7042696861213678</v>
      </c>
      <c r="W24">
        <f t="shared" si="9"/>
        <v>7.2200693443558341</v>
      </c>
      <c r="X24">
        <f t="shared" si="9"/>
        <v>7.7358882505850497</v>
      </c>
      <c r="Y24">
        <f t="shared" si="9"/>
        <v>8.2517277805008273</v>
      </c>
      <c r="Z24">
        <f t="shared" si="1"/>
        <v>8.7675893099678071</v>
      </c>
      <c r="AA24">
        <f t="shared" si="1"/>
        <v>9.28347421503498</v>
      </c>
      <c r="AB24">
        <f t="shared" si="1"/>
        <v>9.7993838719472279</v>
      </c>
      <c r="AC24">
        <f t="shared" si="1"/>
        <v>10.315319657156873</v>
      </c>
      <c r="AD24">
        <f t="shared" si="1"/>
        <v>10.831282947335216</v>
      </c>
      <c r="AE24">
        <f t="shared" si="1"/>
        <v>11.347275119384083</v>
      </c>
      <c r="AF24">
        <f t="shared" si="1"/>
        <v>11.863297550447403</v>
      </c>
      <c r="AG24">
        <f t="shared" si="1"/>
        <v>12.379351617922731</v>
      </c>
      <c r="AH24">
        <f t="shared" si="1"/>
        <v>12.895438699472837</v>
      </c>
      <c r="AI24">
        <f t="shared" si="1"/>
        <v>13.411560173037262</v>
      </c>
      <c r="AJ24">
        <f t="shared" si="1"/>
        <v>13.927717416843885</v>
      </c>
      <c r="AK24">
        <f t="shared" si="1"/>
        <v>14.443911809420515</v>
      </c>
      <c r="AL24">
        <f t="shared" si="1"/>
        <v>14.960144729606435</v>
      </c>
      <c r="AM24">
        <f t="shared" si="1"/>
        <v>15.476417556564034</v>
      </c>
      <c r="AN24">
        <f t="shared" si="1"/>
        <v>15.992731669790365</v>
      </c>
      <c r="AO24">
        <f t="shared" si="1"/>
        <v>16.509088449128758</v>
      </c>
      <c r="AP24">
        <f t="shared" si="1"/>
        <v>17.025489274780405</v>
      </c>
      <c r="AQ24">
        <f t="shared" si="1"/>
        <v>17.541935527315992</v>
      </c>
      <c r="AR24">
        <f t="shared" si="1"/>
        <v>18.058428587687292</v>
      </c>
      <c r="AS24">
        <f t="shared" si="1"/>
        <v>18.574969837238793</v>
      </c>
      <c r="AT24">
        <f t="shared" si="1"/>
        <v>19.091560657719327</v>
      </c>
      <c r="AU24">
        <f t="shared" si="1"/>
        <v>19.608202431293687</v>
      </c>
      <c r="AV24">
        <f t="shared" si="1"/>
        <v>20.124896540554307</v>
      </c>
      <c r="AW24">
        <f t="shared" si="1"/>
        <v>20.641644368532852</v>
      </c>
      <c r="AX24">
        <f t="shared" si="1"/>
        <v>21.158447298711927</v>
      </c>
      <c r="AY24">
        <f t="shared" si="1"/>
        <v>21.675306715036722</v>
      </c>
      <c r="AZ24">
        <f t="shared" si="1"/>
        <v>22.192224001926618</v>
      </c>
      <c r="BA24">
        <f t="shared" si="1"/>
        <v>22.709200544287011</v>
      </c>
      <c r="BB24">
        <f t="shared" si="1"/>
        <v>23.226237727520807</v>
      </c>
      <c r="BC24">
        <f t="shared" si="1"/>
        <v>23.743336937540306</v>
      </c>
      <c r="BD24">
        <f t="shared" si="1"/>
        <v>24.26049956077874</v>
      </c>
      <c r="BE24">
        <f t="shared" si="1"/>
        <v>24.77772698420209</v>
      </c>
      <c r="BF24">
        <f t="shared" si="1"/>
        <v>25.295020595320789</v>
      </c>
      <c r="BG24">
        <f t="shared" si="1"/>
        <v>25.812381782201388</v>
      </c>
      <c r="BH24">
        <f t="shared" si="1"/>
        <v>26.329811933478364</v>
      </c>
      <c r="BI24">
        <f t="shared" si="1"/>
        <v>26.847312438365837</v>
      </c>
      <c r="BJ24">
        <f t="shared" si="1"/>
        <v>27.364884686669321</v>
      </c>
      <c r="BK24">
        <f t="shared" si="1"/>
        <v>27.882530068797497</v>
      </c>
      <c r="BL24">
        <f t="shared" si="1"/>
        <v>28.400249975773988</v>
      </c>
      <c r="BM24">
        <f t="shared" si="1"/>
        <v>28.918045799249175</v>
      </c>
      <c r="BN24">
        <f t="shared" si="1"/>
        <v>29.435918931511914</v>
      </c>
      <c r="BO24">
        <f t="shared" si="1"/>
        <v>29.953870765501421</v>
      </c>
      <c r="BP24">
        <f t="shared" si="1"/>
        <v>30.471902694819054</v>
      </c>
      <c r="BQ24">
        <f t="shared" si="1"/>
        <v>30.990016113740154</v>
      </c>
      <c r="BR24">
        <f t="shared" si="1"/>
        <v>31.508212417225888</v>
      </c>
      <c r="BS24">
        <f t="shared" si="1"/>
        <v>32.026493000935041</v>
      </c>
      <c r="BT24">
        <f t="shared" si="1"/>
        <v>32.544859261236006</v>
      </c>
      <c r="BU24">
        <f t="shared" si="1"/>
        <v>33.063312595218505</v>
      </c>
      <c r="BV24">
        <f t="shared" si="1"/>
        <v>33.581854400705595</v>
      </c>
      <c r="BW24">
        <f t="shared" si="2"/>
        <v>34.10048607626549</v>
      </c>
      <c r="BX24">
        <f t="shared" si="2"/>
        <v>34.619209021223526</v>
      </c>
      <c r="BY24">
        <f t="shared" si="2"/>
        <v>35.138024635674057</v>
      </c>
      <c r="BZ24">
        <f t="shared" si="2"/>
        <v>35.656934320492354</v>
      </c>
      <c r="CA24">
        <f t="shared" si="2"/>
        <v>36.175939477346652</v>
      </c>
      <c r="CB24">
        <f t="shared" si="2"/>
        <v>36.695041508709998</v>
      </c>
      <c r="CC24">
        <f t="shared" si="2"/>
        <v>37.214241817872328</v>
      </c>
      <c r="CD24">
        <f t="shared" si="2"/>
        <v>37.733541808952346</v>
      </c>
      <c r="CE24">
        <f t="shared" si="2"/>
        <v>38.252942886909622</v>
      </c>
      <c r="CF24">
        <f t="shared" si="2"/>
        <v>38.772446457556576</v>
      </c>
      <c r="CG24">
        <f t="shared" si="2"/>
        <v>39.2920539275705</v>
      </c>
      <c r="CH24">
        <f t="shared" si="2"/>
        <v>39.811766704505587</v>
      </c>
      <c r="CI24">
        <f t="shared" si="2"/>
        <v>40.331586196805034</v>
      </c>
      <c r="CJ24">
        <f t="shared" si="2"/>
        <v>40.851513813813085</v>
      </c>
      <c r="CK24">
        <f t="shared" si="2"/>
        <v>41.371550965787087</v>
      </c>
      <c r="CL24">
        <f t="shared" si="2"/>
        <v>41.89169906390967</v>
      </c>
      <c r="CM24">
        <f t="shared" si="2"/>
        <v>42.411959520300805</v>
      </c>
      <c r="CN24">
        <f t="shared" si="2"/>
        <v>42.932333748030011</v>
      </c>
      <c r="CO24">
        <f t="shared" si="2"/>
        <v>43.452823161128393</v>
      </c>
      <c r="CP24">
        <f t="shared" si="2"/>
        <v>43.973429174600881</v>
      </c>
      <c r="CQ24">
        <f t="shared" si="2"/>
        <v>44.494153204438405</v>
      </c>
      <c r="CR24">
        <f t="shared" si="2"/>
        <v>45.014996667630122</v>
      </c>
      <c r="CS24">
        <f t="shared" si="2"/>
        <v>45.535960982175546</v>
      </c>
      <c r="CT24">
        <f t="shared" si="2"/>
        <v>46.057047567096831</v>
      </c>
      <c r="CU24">
        <f t="shared" si="2"/>
        <v>46.578257842451123</v>
      </c>
      <c r="CV24">
        <f t="shared" si="2"/>
        <v>47.099593229342545</v>
      </c>
      <c r="CW24">
        <f t="shared" si="2"/>
        <v>47.621055149934847</v>
      </c>
      <c r="CX24">
        <f t="shared" si="2"/>
        <v>48.142645027463395</v>
      </c>
      <c r="CY24">
        <f t="shared" si="2"/>
        <v>48.664364286247626</v>
      </c>
      <c r="CZ24">
        <f t="shared" si="2"/>
        <v>49.186214351703441</v>
      </c>
      <c r="DA24">
        <f t="shared" si="2"/>
        <v>49.708196650355397</v>
      </c>
      <c r="DB24">
        <f t="shared" si="2"/>
        <v>50.230312609849278</v>
      </c>
      <c r="DC24">
        <f t="shared" si="2"/>
        <v>50.752563658964348</v>
      </c>
      <c r="DD24">
        <f t="shared" si="2"/>
        <v>51.274951227625714</v>
      </c>
      <c r="DE24">
        <f t="shared" si="2"/>
        <v>51.797476746916963</v>
      </c>
      <c r="DF24">
        <f t="shared" ref="DF24:FQ27" si="10">($E24*TAN(RADIANS(DF$22)))*$E24*$G24*1000*9.81*(((0.66*($E24/(COS(RADIANS(DF$22)))))+(0.66*$E24))/2)</f>
        <v>52.320141649092434</v>
      </c>
      <c r="DG24">
        <f t="shared" si="10"/>
        <v>52.842947367589744</v>
      </c>
      <c r="DH24">
        <f t="shared" si="10"/>
        <v>53.365895337042275</v>
      </c>
      <c r="DI24">
        <f t="shared" si="10"/>
        <v>53.888986993291716</v>
      </c>
      <c r="DJ24">
        <f t="shared" si="10"/>
        <v>54.412223773400498</v>
      </c>
      <c r="DK24">
        <f t="shared" si="10"/>
        <v>54.935607115664467</v>
      </c>
      <c r="DL24">
        <f t="shared" si="10"/>
        <v>55.45913845962535</v>
      </c>
      <c r="DM24">
        <f t="shared" si="10"/>
        <v>55.982819246083437</v>
      </c>
      <c r="DN24">
        <f t="shared" si="10"/>
        <v>56.506650917110051</v>
      </c>
      <c r="DO24">
        <f t="shared" si="10"/>
        <v>57.03063491606035</v>
      </c>
      <c r="DP24">
        <f t="shared" si="10"/>
        <v>57.55477268758591</v>
      </c>
      <c r="DQ24">
        <f t="shared" si="10"/>
        <v>58.07906567764735</v>
      </c>
      <c r="DR24">
        <f t="shared" si="10"/>
        <v>58.603515333527106</v>
      </c>
      <c r="DS24">
        <f t="shared" si="10"/>
        <v>59.128123103842071</v>
      </c>
      <c r="DT24">
        <f t="shared" si="10"/>
        <v>59.652890438556476</v>
      </c>
      <c r="DU24">
        <f t="shared" si="10"/>
        <v>60.1778187889945</v>
      </c>
      <c r="DV24">
        <f t="shared" si="10"/>
        <v>60.70290960785313</v>
      </c>
      <c r="DW24">
        <f t="shared" si="10"/>
        <v>61.228164349215014</v>
      </c>
      <c r="DX24">
        <f t="shared" si="10"/>
        <v>61.753584468561165</v>
      </c>
      <c r="DY24">
        <f t="shared" si="10"/>
        <v>62.279171422783946</v>
      </c>
      <c r="DZ24">
        <f t="shared" si="10"/>
        <v>62.804926670199933</v>
      </c>
      <c r="EA24">
        <f t="shared" si="10"/>
        <v>63.330851670562758</v>
      </c>
      <c r="EB24">
        <f t="shared" si="10"/>
        <v>63.856947885076082</v>
      </c>
      <c r="EC24">
        <f t="shared" si="10"/>
        <v>64.383216776406528</v>
      </c>
      <c r="ED24">
        <f t="shared" si="10"/>
        <v>64.909659808696688</v>
      </c>
      <c r="EE24">
        <f t="shared" si="10"/>
        <v>65.436278447578147</v>
      </c>
      <c r="EF24">
        <f t="shared" si="10"/>
        <v>65.963074160184377</v>
      </c>
      <c r="EG24">
        <f t="shared" si="10"/>
        <v>66.490048415163869</v>
      </c>
      <c r="EH24">
        <f t="shared" si="10"/>
        <v>67.017202682693508</v>
      </c>
      <c r="EI24">
        <f t="shared" si="10"/>
        <v>67.544538434491074</v>
      </c>
      <c r="EJ24">
        <f t="shared" si="10"/>
        <v>68.072057143828857</v>
      </c>
      <c r="EK24">
        <f t="shared" si="10"/>
        <v>68.599760285546623</v>
      </c>
      <c r="EL24">
        <f t="shared" si="10"/>
        <v>69.127649336064778</v>
      </c>
      <c r="EM24">
        <f t="shared" si="10"/>
        <v>69.655725773397762</v>
      </c>
      <c r="EN24">
        <f t="shared" si="10"/>
        <v>70.183991077166993</v>
      </c>
      <c r="EO24">
        <f t="shared" si="10"/>
        <v>70.712446728614452</v>
      </c>
      <c r="EP24">
        <f t="shared" si="10"/>
        <v>71.241094210615685</v>
      </c>
      <c r="EQ24">
        <f t="shared" si="10"/>
        <v>71.76993500769332</v>
      </c>
      <c r="ER24">
        <f t="shared" si="10"/>
        <v>72.298970606030394</v>
      </c>
      <c r="ES24">
        <f t="shared" si="10"/>
        <v>72.828202493483502</v>
      </c>
      <c r="ET24">
        <f t="shared" si="10"/>
        <v>73.357632159596619</v>
      </c>
      <c r="EU24">
        <f t="shared" si="10"/>
        <v>73.887261095614093</v>
      </c>
      <c r="EV24">
        <f t="shared" si="10"/>
        <v>74.417090794494413</v>
      </c>
      <c r="EW24">
        <f t="shared" si="10"/>
        <v>74.947122750923597</v>
      </c>
      <c r="EX24">
        <f t="shared" si="10"/>
        <v>75.477358461328635</v>
      </c>
      <c r="EY24">
        <f t="shared" si="10"/>
        <v>76.007799423891115</v>
      </c>
      <c r="EZ24">
        <f t="shared" si="10"/>
        <v>76.538447138560898</v>
      </c>
      <c r="FA24">
        <f t="shared" si="10"/>
        <v>77.06930310706953</v>
      </c>
      <c r="FB24">
        <f t="shared" si="10"/>
        <v>77.600368832944</v>
      </c>
      <c r="FC24">
        <f t="shared" si="10"/>
        <v>78.131645821520351</v>
      </c>
      <c r="FD24">
        <f t="shared" si="10"/>
        <v>78.663135579957512</v>
      </c>
      <c r="FE24">
        <f t="shared" si="10"/>
        <v>79.194839617250821</v>
      </c>
      <c r="FF24">
        <f t="shared" si="10"/>
        <v>79.726759444245971</v>
      </c>
      <c r="FG24">
        <f t="shared" si="10"/>
        <v>80.258896573652706</v>
      </c>
      <c r="FH24">
        <f t="shared" si="10"/>
        <v>80.791252520058663</v>
      </c>
      <c r="FI24">
        <f t="shared" si="10"/>
        <v>81.323828799943257</v>
      </c>
      <c r="FJ24">
        <f t="shared" si="10"/>
        <v>81.856626931691537</v>
      </c>
      <c r="FK24">
        <f t="shared" si="10"/>
        <v>82.389648435608137</v>
      </c>
      <c r="FL24">
        <f t="shared" si="10"/>
        <v>82.922894833931252</v>
      </c>
      <c r="FM24">
        <f t="shared" si="10"/>
        <v>83.456367650846531</v>
      </c>
      <c r="FN24">
        <f t="shared" si="10"/>
        <v>83.990068412501202</v>
      </c>
      <c r="FO24">
        <f t="shared" si="10"/>
        <v>84.523998647018146</v>
      </c>
      <c r="FP24">
        <f t="shared" si="10"/>
        <v>85.058159884509735</v>
      </c>
      <c r="FQ24">
        <f t="shared" si="10"/>
        <v>85.592553657092395</v>
      </c>
      <c r="FR24">
        <f>($E24*TAN(RADIANS(FR$22)))*$E24*$G24*1000*9.81*(((0.66*($E24/(COS(RADIANS(FR$22)))))+(0.66*$E24))/2)</f>
        <v>86.127181498900384</v>
      </c>
      <c r="FS24">
        <f t="shared" si="5"/>
        <v>86.662044946100139</v>
      </c>
      <c r="FT24">
        <f t="shared" si="5"/>
        <v>87.1971455369045</v>
      </c>
      <c r="FU24">
        <f t="shared" si="5"/>
        <v>87.7324848115869</v>
      </c>
      <c r="FV24">
        <f t="shared" si="5"/>
        <v>88.268064312495852</v>
      </c>
      <c r="FW24">
        <f t="shared" si="5"/>
        <v>88.803885584068965</v>
      </c>
      <c r="FX24">
        <f t="shared" si="5"/>
        <v>89.339950172847665</v>
      </c>
      <c r="FY24">
        <f t="shared" si="5"/>
        <v>89.876259627491379</v>
      </c>
      <c r="FZ24">
        <f t="shared" si="5"/>
        <v>90.412815498791943</v>
      </c>
      <c r="GA24">
        <f t="shared" si="5"/>
        <v>90.949619339688368</v>
      </c>
      <c r="GB24">
        <f t="shared" si="5"/>
        <v>91.486672705280952</v>
      </c>
      <c r="GC24">
        <f t="shared" si="5"/>
        <v>92.023977152846172</v>
      </c>
      <c r="GD24">
        <f t="shared" si="5"/>
        <v>92.561534241851092</v>
      </c>
      <c r="GE24">
        <f t="shared" si="5"/>
        <v>93.099345533968076</v>
      </c>
      <c r="GF24">
        <f t="shared" si="5"/>
        <v>93.637412593089394</v>
      </c>
      <c r="GG24">
        <f t="shared" si="5"/>
        <v>94.175736985341885</v>
      </c>
      <c r="GH24">
        <f t="shared" si="5"/>
        <v>94.714320279102012</v>
      </c>
      <c r="GI24">
        <f t="shared" si="5"/>
        <v>95.253164045010081</v>
      </c>
      <c r="GJ24">
        <f t="shared" si="5"/>
        <v>95.79226985598568</v>
      </c>
      <c r="GK24">
        <f t="shared" si="5"/>
        <v>96.331639287241885</v>
      </c>
      <c r="GL24">
        <f t="shared" si="5"/>
        <v>96.871273916301092</v>
      </c>
      <c r="GM24">
        <f t="shared" si="5"/>
        <v>97.411175323008834</v>
      </c>
      <c r="GN24">
        <f t="shared" si="5"/>
        <v>97.951345089549562</v>
      </c>
      <c r="GO24">
        <f t="shared" si="5"/>
        <v>98.491784800461431</v>
      </c>
      <c r="GP24">
        <f t="shared" si="5"/>
        <v>99.032496042651303</v>
      </c>
      <c r="GQ24">
        <f t="shared" si="5"/>
        <v>99.573480405409938</v>
      </c>
      <c r="GR24">
        <f t="shared" si="5"/>
        <v>100.11473948042706</v>
      </c>
      <c r="GS24">
        <f t="shared" si="5"/>
        <v>100.65627486180666</v>
      </c>
      <c r="GT24">
        <f t="shared" si="5"/>
        <v>101.19808814608216</v>
      </c>
      <c r="GU24">
        <f t="shared" si="5"/>
        <v>101.74018093223155</v>
      </c>
      <c r="GV24">
        <f t="shared" si="5"/>
        <v>102.28255482169295</v>
      </c>
      <c r="GW24">
        <f t="shared" si="5"/>
        <v>102.82521141837991</v>
      </c>
      <c r="GX24">
        <f t="shared" si="5"/>
        <v>103.36815232869664</v>
      </c>
      <c r="GY24">
        <f t="shared" si="5"/>
        <v>103.91137916155358</v>
      </c>
      <c r="GZ24">
        <f t="shared" si="5"/>
        <v>104.454893528383</v>
      </c>
      <c r="HA24">
        <f t="shared" si="5"/>
        <v>104.99869704315418</v>
      </c>
      <c r="HB24">
        <f t="shared" si="5"/>
        <v>105.54279132238979</v>
      </c>
      <c r="HC24">
        <f t="shared" si="5"/>
        <v>106.08717798517985</v>
      </c>
      <c r="HD24">
        <f t="shared" si="5"/>
        <v>106.6318586531995</v>
      </c>
      <c r="HE24">
        <f t="shared" si="5"/>
        <v>107.17683495072333</v>
      </c>
      <c r="HF24">
        <f t="shared" si="5"/>
        <v>107.7221085046415</v>
      </c>
      <c r="HG24">
        <f t="shared" si="5"/>
        <v>108.26768094447561</v>
      </c>
      <c r="HH24">
        <f t="shared" si="5"/>
        <v>108.81355390239447</v>
      </c>
      <c r="HI24">
        <f t="shared" si="5"/>
        <v>109.35972901323002</v>
      </c>
      <c r="HJ24">
        <f t="shared" si="5"/>
        <v>109.90620791449322</v>
      </c>
      <c r="HK24">
        <f t="shared" si="5"/>
        <v>110.4529922463902</v>
      </c>
      <c r="HL24">
        <f t="shared" si="5"/>
        <v>111.00008365183814</v>
      </c>
      <c r="HM24">
        <f t="shared" si="5"/>
        <v>111.54748377648134</v>
      </c>
      <c r="HN24">
        <f t="shared" si="5"/>
        <v>112.09519426870757</v>
      </c>
      <c r="HO24">
        <f t="shared" si="5"/>
        <v>112.64321677966399</v>
      </c>
      <c r="HP24">
        <f t="shared" si="5"/>
        <v>113.19155296327355</v>
      </c>
      <c r="HQ24">
        <f t="shared" si="5"/>
        <v>113.74020447625128</v>
      </c>
      <c r="HR24">
        <f t="shared" si="5"/>
        <v>114.28917297812039</v>
      </c>
      <c r="HS24">
        <f t="shared" si="5"/>
        <v>114.83846013122904</v>
      </c>
      <c r="HT24">
        <f t="shared" si="5"/>
        <v>115.38806760076633</v>
      </c>
      <c r="HU24">
        <f t="shared" si="5"/>
        <v>115.93799705477919</v>
      </c>
      <c r="HV24">
        <f t="shared" si="5"/>
        <v>116.48825016418866</v>
      </c>
      <c r="HW24">
        <f t="shared" si="5"/>
        <v>117.0388286028065</v>
      </c>
      <c r="HX24">
        <f t="shared" si="5"/>
        <v>117.58973404735194</v>
      </c>
      <c r="HY24">
        <f t="shared" si="5"/>
        <v>118.14096817746825</v>
      </c>
      <c r="HZ24">
        <f t="shared" si="5"/>
        <v>118.69253267573946</v>
      </c>
      <c r="IA24">
        <f t="shared" si="5"/>
        <v>119.24442922770733</v>
      </c>
      <c r="IB24">
        <f t="shared" si="5"/>
        <v>119.7966595218879</v>
      </c>
      <c r="IC24">
        <f t="shared" si="5"/>
        <v>120.34922524978883</v>
      </c>
      <c r="ID24">
        <f t="shared" si="5"/>
        <v>120.90212810592578</v>
      </c>
      <c r="IE24">
        <f t="shared" si="6"/>
        <v>121.4553697878399</v>
      </c>
      <c r="IF24">
        <f t="shared" si="6"/>
        <v>122.00895199611462</v>
      </c>
      <c r="IG24">
        <f t="shared" si="6"/>
        <v>122.56287643439292</v>
      </c>
      <c r="IH24">
        <f t="shared" si="6"/>
        <v>123.11714480939433</v>
      </c>
      <c r="II24">
        <f t="shared" si="6"/>
        <v>123.67175883093226</v>
      </c>
      <c r="IJ24">
        <f t="shared" si="6"/>
        <v>124.22672021193132</v>
      </c>
      <c r="IK24">
        <f t="shared" si="6"/>
        <v>124.78203066844449</v>
      </c>
      <c r="IL24">
        <f t="shared" si="6"/>
        <v>125.3376919196708</v>
      </c>
      <c r="IM24">
        <f t="shared" si="6"/>
        <v>125.89370568797243</v>
      </c>
      <c r="IN24">
        <f t="shared" si="6"/>
        <v>126.45007369889234</v>
      </c>
      <c r="IO24">
        <f t="shared" si="6"/>
        <v>127.00679768117203</v>
      </c>
      <c r="IP24">
        <f t="shared" si="6"/>
        <v>127.56387936676887</v>
      </c>
      <c r="IQ24">
        <f t="shared" si="6"/>
        <v>128.1213204908739</v>
      </c>
      <c r="IR24">
        <f t="shared" si="6"/>
        <v>128.6791227919297</v>
      </c>
      <c r="IS24">
        <f t="shared" si="6"/>
        <v>129.23728801164788</v>
      </c>
      <c r="IT24">
        <f t="shared" si="6"/>
        <v>129.7958178950272</v>
      </c>
      <c r="IU24">
        <f t="shared" si="6"/>
        <v>130.35471419037145</v>
      </c>
      <c r="IV24">
        <f t="shared" si="6"/>
        <v>130.91397864930707</v>
      </c>
      <c r="IW24">
        <f t="shared" si="6"/>
        <v>131.47361302680187</v>
      </c>
      <c r="IX24">
        <f t="shared" si="6"/>
        <v>132.03361908118248</v>
      </c>
      <c r="IY24">
        <f t="shared" si="6"/>
        <v>132.59399857415281</v>
      </c>
      <c r="IZ24">
        <f t="shared" si="6"/>
        <v>133.15475327081211</v>
      </c>
      <c r="JA24">
        <f t="shared" si="6"/>
        <v>133.71588493967357</v>
      </c>
      <c r="JB24">
        <f t="shared" si="6"/>
        <v>134.27739535268228</v>
      </c>
      <c r="JC24">
        <f t="shared" si="6"/>
        <v>134.83928628523364</v>
      </c>
      <c r="JD24">
        <f t="shared" si="6"/>
        <v>135.40155951619229</v>
      </c>
      <c r="JE24">
        <f t="shared" si="6"/>
        <v>135.96421682791012</v>
      </c>
      <c r="JF24">
        <f t="shared" si="6"/>
        <v>136.52726000624511</v>
      </c>
      <c r="JG24">
        <f t="shared" si="6"/>
        <v>137.09069084057992</v>
      </c>
      <c r="JH24">
        <f t="shared" si="6"/>
        <v>137.65451112384062</v>
      </c>
      <c r="JI24">
        <f t="shared" si="6"/>
        <v>138.21872265251548</v>
      </c>
      <c r="JJ24">
        <f t="shared" si="6"/>
        <v>138.78332722667398</v>
      </c>
      <c r="JK24">
        <f t="shared" si="6"/>
        <v>139.34832664998527</v>
      </c>
      <c r="JL24">
        <f t="shared" si="6"/>
        <v>139.91372272973777</v>
      </c>
      <c r="JM24">
        <f t="shared" si="6"/>
        <v>140.47951727685768</v>
      </c>
      <c r="JN24">
        <f t="shared" si="6"/>
        <v>141.04571210592846</v>
      </c>
      <c r="JO24">
        <f t="shared" si="6"/>
        <v>141.61230903520976</v>
      </c>
      <c r="JP24">
        <f t="shared" si="6"/>
        <v>142.17930988665688</v>
      </c>
      <c r="JQ24">
        <f t="shared" si="6"/>
        <v>142.74671648594003</v>
      </c>
      <c r="JR24">
        <f t="shared" si="6"/>
        <v>143.31453066246348</v>
      </c>
      <c r="JS24">
        <f t="shared" si="6"/>
        <v>143.88275424938547</v>
      </c>
      <c r="JT24">
        <f t="shared" si="6"/>
        <v>144.45138908363731</v>
      </c>
      <c r="JU24">
        <f t="shared" si="6"/>
        <v>145.02043700594325</v>
      </c>
      <c r="JV24">
        <f t="shared" si="6"/>
        <v>145.58989986084006</v>
      </c>
      <c r="JW24">
        <f t="shared" si="6"/>
        <v>146.15977949669661</v>
      </c>
      <c r="JX24">
        <f t="shared" si="6"/>
        <v>146.73007776573399</v>
      </c>
      <c r="JY24">
        <f t="shared" si="6"/>
        <v>147.30079652404524</v>
      </c>
      <c r="JZ24">
        <f t="shared" si="6"/>
        <v>147.87193763161517</v>
      </c>
      <c r="KA24">
        <f t="shared" si="6"/>
        <v>148.44350295234045</v>
      </c>
      <c r="KB24">
        <f t="shared" si="6"/>
        <v>149.01549435404996</v>
      </c>
      <c r="KC24">
        <f t="shared" si="6"/>
        <v>149.58791370852467</v>
      </c>
    </row>
    <row r="25" spans="3:630" x14ac:dyDescent="0.25">
      <c r="C25">
        <f>C26+0.8</f>
        <v>1.6625000000000001</v>
      </c>
      <c r="D25">
        <v>1.06</v>
      </c>
      <c r="E25">
        <f t="shared" si="7"/>
        <v>0.53</v>
      </c>
      <c r="F25">
        <f t="shared" si="8"/>
        <v>0.34980000000000006</v>
      </c>
      <c r="G25">
        <v>0.8</v>
      </c>
      <c r="J25">
        <f t="shared" si="0"/>
        <v>0.67294272673989108</v>
      </c>
      <c r="K25">
        <f t="shared" ref="K25:BV28" si="11">($E25*TAN(RADIANS(K$22)))*$E25*$G25*1000*9.81*(((0.66*($E25/(COS(RADIANS(K$22)))))+(0.66*$E25))/2)</f>
        <v>1.3458872471459162</v>
      </c>
      <c r="L25">
        <f t="shared" si="11"/>
        <v>2.018835354899235</v>
      </c>
      <c r="M25">
        <f t="shared" si="11"/>
        <v>2.6917888437110582</v>
      </c>
      <c r="N25">
        <f t="shared" si="11"/>
        <v>3.3647495073376756</v>
      </c>
      <c r="O25">
        <f t="shared" si="11"/>
        <v>4.0377191395954792</v>
      </c>
      <c r="P25">
        <f t="shared" si="11"/>
        <v>4.7106995343759941</v>
      </c>
      <c r="Q25">
        <f t="shared" si="11"/>
        <v>5.3836924856609096</v>
      </c>
      <c r="R25">
        <f t="shared" si="11"/>
        <v>6.0566997875371058</v>
      </c>
      <c r="S25">
        <f t="shared" si="11"/>
        <v>6.7297232342116899</v>
      </c>
      <c r="T25">
        <f t="shared" si="11"/>
        <v>7.4027646200270283</v>
      </c>
      <c r="U25">
        <f t="shared" si="11"/>
        <v>8.0758257394757749</v>
      </c>
      <c r="V25">
        <f t="shared" si="11"/>
        <v>8.7489083872159359</v>
      </c>
      <c r="W25">
        <f t="shared" si="11"/>
        <v>9.4220143580858782</v>
      </c>
      <c r="X25">
        <f t="shared" si="11"/>
        <v>10.0951454471194</v>
      </c>
      <c r="Y25">
        <f t="shared" si="11"/>
        <v>10.768303449560772</v>
      </c>
      <c r="Z25">
        <f t="shared" si="11"/>
        <v>11.441490160879768</v>
      </c>
      <c r="AA25">
        <f t="shared" si="11"/>
        <v>12.114707376786763</v>
      </c>
      <c r="AB25">
        <f t="shared" si="11"/>
        <v>12.787956893247747</v>
      </c>
      <c r="AC25">
        <f t="shared" si="11"/>
        <v>13.461240506499431</v>
      </c>
      <c r="AD25">
        <f t="shared" si="11"/>
        <v>14.134560013064267</v>
      </c>
      <c r="AE25">
        <f t="shared" si="11"/>
        <v>14.80791720976555</v>
      </c>
      <c r="AF25">
        <f t="shared" si="11"/>
        <v>15.481313893742518</v>
      </c>
      <c r="AG25">
        <f t="shared" si="11"/>
        <v>16.154751862465371</v>
      </c>
      <c r="AH25">
        <f t="shared" si="11"/>
        <v>16.82823291375043</v>
      </c>
      <c r="AI25">
        <f t="shared" si="11"/>
        <v>17.501758845775161</v>
      </c>
      <c r="AJ25">
        <f t="shared" si="11"/>
        <v>18.175331457093336</v>
      </c>
      <c r="AK25">
        <f t="shared" si="11"/>
        <v>18.848952546650096</v>
      </c>
      <c r="AL25">
        <f t="shared" si="11"/>
        <v>19.522623913797101</v>
      </c>
      <c r="AM25">
        <f t="shared" si="11"/>
        <v>20.196347358307598</v>
      </c>
      <c r="AN25">
        <f t="shared" si="11"/>
        <v>20.870124680391598</v>
      </c>
      <c r="AO25">
        <f t="shared" si="11"/>
        <v>21.543957680710985</v>
      </c>
      <c r="AP25">
        <f t="shared" si="11"/>
        <v>22.217848160394652</v>
      </c>
      <c r="AQ25">
        <f t="shared" si="11"/>
        <v>22.891797921053644</v>
      </c>
      <c r="AR25">
        <f t="shared" si="11"/>
        <v>23.565808764796344</v>
      </c>
      <c r="AS25">
        <f t="shared" si="11"/>
        <v>24.239882494243616</v>
      </c>
      <c r="AT25">
        <f t="shared" si="11"/>
        <v>24.914020912543979</v>
      </c>
      <c r="AU25">
        <f t="shared" si="11"/>
        <v>25.588225823388754</v>
      </c>
      <c r="AV25">
        <f t="shared" si="11"/>
        <v>26.262499031027357</v>
      </c>
      <c r="AW25">
        <f t="shared" si="11"/>
        <v>26.936842340282368</v>
      </c>
      <c r="AX25">
        <f t="shared" si="11"/>
        <v>27.611257556564826</v>
      </c>
      <c r="AY25">
        <f t="shared" si="11"/>
        <v>28.285746485889451</v>
      </c>
      <c r="AZ25">
        <f t="shared" si="11"/>
        <v>28.960310934889762</v>
      </c>
      <c r="BA25">
        <f t="shared" si="11"/>
        <v>29.634952710833495</v>
      </c>
      <c r="BB25">
        <f t="shared" si="11"/>
        <v>30.309673621637689</v>
      </c>
      <c r="BC25">
        <f t="shared" si="11"/>
        <v>30.984475475884036</v>
      </c>
      <c r="BD25">
        <f t="shared" si="11"/>
        <v>31.659360082834112</v>
      </c>
      <c r="BE25">
        <f t="shared" si="11"/>
        <v>32.334329252444689</v>
      </c>
      <c r="BF25">
        <f t="shared" si="11"/>
        <v>33.009384795383014</v>
      </c>
      <c r="BG25">
        <f t="shared" si="11"/>
        <v>33.684528523042076</v>
      </c>
      <c r="BH25">
        <f t="shared" si="11"/>
        <v>34.359762247556006</v>
      </c>
      <c r="BI25">
        <f t="shared" si="11"/>
        <v>35.035087781815321</v>
      </c>
      <c r="BJ25">
        <f t="shared" si="11"/>
        <v>35.710506939482329</v>
      </c>
      <c r="BK25">
        <f t="shared" si="11"/>
        <v>36.386021535006435</v>
      </c>
      <c r="BL25">
        <f t="shared" si="11"/>
        <v>37.061633383639531</v>
      </c>
      <c r="BM25">
        <f t="shared" si="11"/>
        <v>37.737344301451408</v>
      </c>
      <c r="BN25">
        <f t="shared" si="11"/>
        <v>38.413156105345074</v>
      </c>
      <c r="BO25">
        <f t="shared" si="11"/>
        <v>39.089070613072202</v>
      </c>
      <c r="BP25">
        <f t="shared" si="11"/>
        <v>39.765089643248579</v>
      </c>
      <c r="BQ25">
        <f t="shared" si="11"/>
        <v>40.441215015369529</v>
      </c>
      <c r="BR25">
        <f t="shared" si="11"/>
        <v>41.117448549825298</v>
      </c>
      <c r="BS25">
        <f t="shared" si="11"/>
        <v>41.793792067916627</v>
      </c>
      <c r="BT25">
        <f t="shared" si="11"/>
        <v>42.470247391870103</v>
      </c>
      <c r="BU25">
        <f t="shared" si="11"/>
        <v>43.146816344853811</v>
      </c>
      <c r="BV25">
        <f t="shared" si="11"/>
        <v>43.823500750992714</v>
      </c>
      <c r="BW25">
        <f t="shared" si="2"/>
        <v>44.500302435384221</v>
      </c>
      <c r="BX25">
        <f t="shared" si="2"/>
        <v>45.177223224113753</v>
      </c>
      <c r="BY25">
        <f t="shared" si="2"/>
        <v>45.854264944270263</v>
      </c>
      <c r="BZ25">
        <f t="shared" si="2"/>
        <v>46.53142942396186</v>
      </c>
      <c r="CA25">
        <f t="shared" si="2"/>
        <v>47.208718492331336</v>
      </c>
      <c r="CB25">
        <f t="shared" si="2"/>
        <v>47.886133979571831</v>
      </c>
      <c r="CC25">
        <f t="shared" si="2"/>
        <v>48.563677716942472</v>
      </c>
      <c r="CD25">
        <f t="shared" si="2"/>
        <v>49.241351536783924</v>
      </c>
      <c r="CE25">
        <f t="shared" si="2"/>
        <v>49.919157272534157</v>
      </c>
      <c r="CF25">
        <f t="shared" si="2"/>
        <v>50.597096758744058</v>
      </c>
      <c r="CG25">
        <f t="shared" si="2"/>
        <v>51.275171831093189</v>
      </c>
      <c r="CH25">
        <f t="shared" si="2"/>
        <v>51.953384326405455</v>
      </c>
      <c r="CI25">
        <f t="shared" si="2"/>
        <v>52.63173608266483</v>
      </c>
      <c r="CJ25">
        <f t="shared" si="2"/>
        <v>53.310228939031177</v>
      </c>
      <c r="CK25">
        <f t="shared" si="2"/>
        <v>53.988864735855984</v>
      </c>
      <c r="CL25">
        <f t="shared" si="2"/>
        <v>54.667645314698085</v>
      </c>
      <c r="CM25">
        <f t="shared" si="2"/>
        <v>55.346572518339649</v>
      </c>
      <c r="CN25">
        <f t="shared" si="2"/>
        <v>56.025648190801896</v>
      </c>
      <c r="CO25">
        <f t="shared" si="2"/>
        <v>56.704874177360885</v>
      </c>
      <c r="CP25">
        <f t="shared" si="2"/>
        <v>57.384252324563619</v>
      </c>
      <c r="CQ25">
        <f t="shared" si="2"/>
        <v>58.063784480243662</v>
      </c>
      <c r="CR25">
        <f t="shared" si="2"/>
        <v>58.74347249353729</v>
      </c>
      <c r="CS25">
        <f t="shared" si="2"/>
        <v>59.423318214899311</v>
      </c>
      <c r="CT25">
        <f t="shared" si="2"/>
        <v>60.10332349611901</v>
      </c>
      <c r="CU25">
        <f t="shared" si="2"/>
        <v>60.783490190336252</v>
      </c>
      <c r="CV25">
        <f t="shared" si="2"/>
        <v>61.463820152057401</v>
      </c>
      <c r="CW25">
        <f t="shared" si="2"/>
        <v>62.144315237171277</v>
      </c>
      <c r="CX25">
        <f t="shared" si="2"/>
        <v>62.824977302965394</v>
      </c>
      <c r="CY25">
        <f t="shared" si="2"/>
        <v>63.505808208141929</v>
      </c>
      <c r="CZ25">
        <f t="shared" si="2"/>
        <v>64.186809812833758</v>
      </c>
      <c r="DA25">
        <f t="shared" si="2"/>
        <v>64.867983978620714</v>
      </c>
      <c r="DB25">
        <f t="shared" si="2"/>
        <v>65.549332568545665</v>
      </c>
      <c r="DC25">
        <f t="shared" si="2"/>
        <v>66.230857447130674</v>
      </c>
      <c r="DD25">
        <f t="shared" si="2"/>
        <v>66.912560480393168</v>
      </c>
      <c r="DE25">
        <f t="shared" si="2"/>
        <v>67.594443535862325</v>
      </c>
      <c r="DF25">
        <f t="shared" si="10"/>
        <v>68.276508482595062</v>
      </c>
      <c r="DG25">
        <f t="shared" si="10"/>
        <v>68.958757191192547</v>
      </c>
      <c r="DH25">
        <f t="shared" si="10"/>
        <v>69.64119153381634</v>
      </c>
      <c r="DI25">
        <f t="shared" si="10"/>
        <v>70.323813384204797</v>
      </c>
      <c r="DJ25">
        <f t="shared" si="10"/>
        <v>71.006624617689369</v>
      </c>
      <c r="DK25">
        <f t="shared" si="10"/>
        <v>71.689627111210982</v>
      </c>
      <c r="DL25">
        <f t="shared" si="10"/>
        <v>72.372822743336513</v>
      </c>
      <c r="DM25">
        <f t="shared" si="10"/>
        <v>73.05621339427519</v>
      </c>
      <c r="DN25">
        <f t="shared" si="10"/>
        <v>73.739800945894942</v>
      </c>
      <c r="DO25">
        <f t="shared" si="10"/>
        <v>74.423587281738975</v>
      </c>
      <c r="DP25">
        <f t="shared" si="10"/>
        <v>75.107574287042397</v>
      </c>
      <c r="DQ25">
        <f t="shared" si="10"/>
        <v>75.791763848748502</v>
      </c>
      <c r="DR25">
        <f t="shared" si="10"/>
        <v>76.476157855525628</v>
      </c>
      <c r="DS25">
        <f t="shared" si="10"/>
        <v>77.160758197783437</v>
      </c>
      <c r="DT25">
        <f t="shared" si="10"/>
        <v>77.84556676768986</v>
      </c>
      <c r="DU25">
        <f t="shared" si="10"/>
        <v>78.530585459187563</v>
      </c>
      <c r="DV25">
        <f t="shared" si="10"/>
        <v>79.21581616801069</v>
      </c>
      <c r="DW25">
        <f t="shared" si="10"/>
        <v>79.901260791701603</v>
      </c>
      <c r="DX25">
        <f t="shared" si="10"/>
        <v>80.586921229627535</v>
      </c>
      <c r="DY25">
        <f t="shared" si="10"/>
        <v>81.272799382997491</v>
      </c>
      <c r="DZ25">
        <f t="shared" si="10"/>
        <v>81.958897154878983</v>
      </c>
      <c r="EA25">
        <f t="shared" si="10"/>
        <v>82.645216450214903</v>
      </c>
      <c r="EB25">
        <f t="shared" si="10"/>
        <v>83.331759175840432</v>
      </c>
      <c r="EC25">
        <f t="shared" si="10"/>
        <v>84.018527240499751</v>
      </c>
      <c r="ED25">
        <f t="shared" si="10"/>
        <v>84.705522554863293</v>
      </c>
      <c r="EE25">
        <f t="shared" si="10"/>
        <v>85.392747031544431</v>
      </c>
      <c r="EF25">
        <f t="shared" si="10"/>
        <v>86.080202585116652</v>
      </c>
      <c r="EG25">
        <f t="shared" si="10"/>
        <v>86.767891132130373</v>
      </c>
      <c r="EH25">
        <f t="shared" si="10"/>
        <v>87.455814591130547</v>
      </c>
      <c r="EI25">
        <f t="shared" si="10"/>
        <v>88.143974882673021</v>
      </c>
      <c r="EJ25">
        <f t="shared" si="10"/>
        <v>88.832373929342168</v>
      </c>
      <c r="EK25">
        <f t="shared" si="10"/>
        <v>89.521013655767845</v>
      </c>
      <c r="EL25">
        <f t="shared" si="10"/>
        <v>90.209895988642771</v>
      </c>
      <c r="EM25">
        <f t="shared" si="10"/>
        <v>90.89902285673962</v>
      </c>
      <c r="EN25">
        <f t="shared" si="10"/>
        <v>91.58839619092835</v>
      </c>
      <c r="EO25">
        <f t="shared" si="10"/>
        <v>92.27801792419352</v>
      </c>
      <c r="EP25">
        <f t="shared" si="10"/>
        <v>92.967889991651631</v>
      </c>
      <c r="EQ25">
        <f t="shared" si="10"/>
        <v>93.658014330568449</v>
      </c>
      <c r="ER25">
        <f t="shared" si="10"/>
        <v>94.348392880376551</v>
      </c>
      <c r="ES25">
        <f t="shared" si="10"/>
        <v>95.039027582692569</v>
      </c>
      <c r="ET25">
        <f t="shared" si="10"/>
        <v>95.729920381334978</v>
      </c>
      <c r="EU25">
        <f t="shared" si="10"/>
        <v>96.421073222341363</v>
      </c>
      <c r="EV25">
        <f t="shared" si="10"/>
        <v>97.112488053986041</v>
      </c>
      <c r="EW25">
        <f t="shared" si="10"/>
        <v>97.804166826797811</v>
      </c>
      <c r="EX25">
        <f t="shared" si="10"/>
        <v>98.49611149357743</v>
      </c>
      <c r="EY25">
        <f t="shared" si="10"/>
        <v>99.188324009415311</v>
      </c>
      <c r="EZ25">
        <f t="shared" si="10"/>
        <v>99.880806331709451</v>
      </c>
      <c r="FA25">
        <f t="shared" si="10"/>
        <v>100.57356042018287</v>
      </c>
      <c r="FB25">
        <f t="shared" si="10"/>
        <v>101.26658823690157</v>
      </c>
      <c r="FC25">
        <f t="shared" si="10"/>
        <v>101.95989174629241</v>
      </c>
      <c r="FD25">
        <f t="shared" si="10"/>
        <v>102.65347291516099</v>
      </c>
      <c r="FE25">
        <f t="shared" si="10"/>
        <v>103.34733371270943</v>
      </c>
      <c r="FF25">
        <f t="shared" si="10"/>
        <v>104.0414761105545</v>
      </c>
      <c r="FG25">
        <f t="shared" si="10"/>
        <v>104.73590208274547</v>
      </c>
      <c r="FH25">
        <f t="shared" si="10"/>
        <v>105.43061360578238</v>
      </c>
      <c r="FI25">
        <f t="shared" si="10"/>
        <v>106.12561265863376</v>
      </c>
      <c r="FJ25">
        <f t="shared" si="10"/>
        <v>106.82090122275507</v>
      </c>
      <c r="FK25">
        <f t="shared" si="10"/>
        <v>107.51648128210684</v>
      </c>
      <c r="FL25">
        <f t="shared" si="10"/>
        <v>108.21235482317267</v>
      </c>
      <c r="FM25">
        <f t="shared" si="10"/>
        <v>108.90852383497779</v>
      </c>
      <c r="FN25">
        <f t="shared" si="10"/>
        <v>109.60499030910697</v>
      </c>
      <c r="FO25">
        <f t="shared" si="10"/>
        <v>110.30175623972328</v>
      </c>
      <c r="FP25">
        <f t="shared" si="10"/>
        <v>110.99882362358619</v>
      </c>
      <c r="FQ25">
        <f t="shared" si="10"/>
        <v>111.69619446007013</v>
      </c>
      <c r="FR25">
        <f>($E25*TAN(RADIANS(FR$22)))*$E25*$G25*1000*9.81*(((0.66*($E25/(COS(RADIANS(FR$22)))))+(0.66*$E25))/2)</f>
        <v>112.39387075118289</v>
      </c>
      <c r="FS25">
        <f t="shared" si="5"/>
        <v>113.09185450158429</v>
      </c>
      <c r="FT25">
        <f t="shared" si="5"/>
        <v>113.79014771860443</v>
      </c>
      <c r="FU25">
        <f t="shared" si="5"/>
        <v>114.4887524122627</v>
      </c>
      <c r="FV25">
        <f t="shared" si="5"/>
        <v>115.18767059528614</v>
      </c>
      <c r="FW25">
        <f t="shared" si="5"/>
        <v>115.88690428312825</v>
      </c>
      <c r="FX25">
        <f t="shared" si="5"/>
        <v>116.58645549398786</v>
      </c>
      <c r="FY25">
        <f t="shared" si="5"/>
        <v>117.28632624882766</v>
      </c>
      <c r="FZ25">
        <f t="shared" si="5"/>
        <v>117.98651857139329</v>
      </c>
      <c r="GA25">
        <f t="shared" si="5"/>
        <v>118.68703448823213</v>
      </c>
      <c r="GB25">
        <f t="shared" si="5"/>
        <v>119.38787602871227</v>
      </c>
      <c r="GC25">
        <f t="shared" si="5"/>
        <v>120.08904522504149</v>
      </c>
      <c r="GD25">
        <f t="shared" si="5"/>
        <v>120.7905441122862</v>
      </c>
      <c r="GE25">
        <f t="shared" si="5"/>
        <v>121.49237472839073</v>
      </c>
      <c r="GF25">
        <f t="shared" si="5"/>
        <v>122.19453911419642</v>
      </c>
      <c r="GG25">
        <f t="shared" si="5"/>
        <v>122.89703931346057</v>
      </c>
      <c r="GH25">
        <f t="shared" si="5"/>
        <v>123.59987737287614</v>
      </c>
      <c r="GI25">
        <f t="shared" si="5"/>
        <v>124.30305534209053</v>
      </c>
      <c r="GJ25">
        <f t="shared" si="5"/>
        <v>125.00657527372526</v>
      </c>
      <c r="GK25">
        <f t="shared" si="5"/>
        <v>125.71043922339514</v>
      </c>
      <c r="GL25">
        <f t="shared" si="5"/>
        <v>126.41464924972833</v>
      </c>
      <c r="GM25">
        <f t="shared" si="5"/>
        <v>127.11920741438466</v>
      </c>
      <c r="GN25">
        <f t="shared" si="5"/>
        <v>127.82411578207636</v>
      </c>
      <c r="GO25">
        <f t="shared" si="5"/>
        <v>128.52937642058703</v>
      </c>
      <c r="GP25">
        <f t="shared" si="5"/>
        <v>129.23499140079133</v>
      </c>
      <c r="GQ25">
        <f t="shared" si="5"/>
        <v>129.940962796675</v>
      </c>
      <c r="GR25">
        <f t="shared" si="5"/>
        <v>130.64729268535427</v>
      </c>
      <c r="GS25">
        <f t="shared" si="5"/>
        <v>131.35398314709602</v>
      </c>
      <c r="GT25">
        <f t="shared" si="5"/>
        <v>132.06103626533732</v>
      </c>
      <c r="GU25">
        <f t="shared" si="5"/>
        <v>132.76845412670551</v>
      </c>
      <c r="GV25">
        <f t="shared" si="5"/>
        <v>133.47623882103832</v>
      </c>
      <c r="GW25">
        <f t="shared" si="5"/>
        <v>134.18439244140367</v>
      </c>
      <c r="GX25">
        <f t="shared" si="5"/>
        <v>134.89291708411994</v>
      </c>
      <c r="GY25">
        <f t="shared" si="5"/>
        <v>135.60181484877603</v>
      </c>
      <c r="GZ25">
        <f t="shared" si="5"/>
        <v>136.31108783825164</v>
      </c>
      <c r="HA25">
        <f t="shared" si="5"/>
        <v>137.02073815873746</v>
      </c>
      <c r="HB25">
        <f t="shared" si="5"/>
        <v>137.730767919756</v>
      </c>
      <c r="HC25">
        <f t="shared" si="5"/>
        <v>138.44117923418028</v>
      </c>
      <c r="HD25">
        <f t="shared" si="5"/>
        <v>139.15197421825678</v>
      </c>
      <c r="HE25">
        <f t="shared" si="5"/>
        <v>139.86315499162433</v>
      </c>
      <c r="HF25">
        <f t="shared" si="5"/>
        <v>140.57472367733476</v>
      </c>
      <c r="HG25">
        <f t="shared" si="5"/>
        <v>141.28668240187406</v>
      </c>
      <c r="HH25">
        <f t="shared" si="5"/>
        <v>141.99903329518276</v>
      </c>
      <c r="HI25">
        <f t="shared" si="5"/>
        <v>142.71177849067652</v>
      </c>
      <c r="HJ25">
        <f t="shared" si="5"/>
        <v>143.42492012526733</v>
      </c>
      <c r="HK25">
        <f t="shared" si="5"/>
        <v>144.13846033938415</v>
      </c>
      <c r="HL25">
        <f t="shared" si="5"/>
        <v>144.85240127699373</v>
      </c>
      <c r="HM25">
        <f t="shared" si="5"/>
        <v>145.56674508562182</v>
      </c>
      <c r="HN25">
        <f t="shared" si="5"/>
        <v>146.28149391637425</v>
      </c>
      <c r="HO25">
        <f t="shared" si="5"/>
        <v>146.99664992395779</v>
      </c>
      <c r="HP25">
        <f t="shared" si="5"/>
        <v>147.71221526670152</v>
      </c>
      <c r="HQ25">
        <f t="shared" si="5"/>
        <v>148.42819210657808</v>
      </c>
      <c r="HR25">
        <f t="shared" si="5"/>
        <v>149.14458260922484</v>
      </c>
      <c r="HS25">
        <f t="shared" si="5"/>
        <v>149.86138894396564</v>
      </c>
      <c r="HT25">
        <f t="shared" si="5"/>
        <v>150.57861328383152</v>
      </c>
      <c r="HU25">
        <f t="shared" si="5"/>
        <v>151.29625780558314</v>
      </c>
      <c r="HV25">
        <f t="shared" si="5"/>
        <v>152.01432468973161</v>
      </c>
      <c r="HW25">
        <f t="shared" si="5"/>
        <v>152.73281612056044</v>
      </c>
      <c r="HX25">
        <f t="shared" si="5"/>
        <v>153.45173428614737</v>
      </c>
      <c r="HY25">
        <f t="shared" si="5"/>
        <v>154.17108137838588</v>
      </c>
      <c r="HZ25">
        <f t="shared" si="5"/>
        <v>154.89085959300709</v>
      </c>
      <c r="IA25">
        <f t="shared" si="5"/>
        <v>155.61107112960184</v>
      </c>
      <c r="IB25">
        <f t="shared" si="5"/>
        <v>156.33171819164249</v>
      </c>
      <c r="IC25">
        <f t="shared" si="5"/>
        <v>157.05280298650504</v>
      </c>
      <c r="ID25">
        <f t="shared" si="5"/>
        <v>157.77432772549133</v>
      </c>
      <c r="IE25">
        <f t="shared" si="6"/>
        <v>158.49629462385104</v>
      </c>
      <c r="IF25">
        <f t="shared" si="6"/>
        <v>159.218705900804</v>
      </c>
      <c r="IG25">
        <f t="shared" si="6"/>
        <v>159.94156377956284</v>
      </c>
      <c r="IH25">
        <f t="shared" si="6"/>
        <v>160.66487048735488</v>
      </c>
      <c r="II25">
        <f t="shared" si="6"/>
        <v>161.38862825544487</v>
      </c>
      <c r="IJ25">
        <f t="shared" si="6"/>
        <v>162.11283931915773</v>
      </c>
      <c r="IK25">
        <f t="shared" si="6"/>
        <v>162.83750591790064</v>
      </c>
      <c r="IL25">
        <f t="shared" si="6"/>
        <v>163.56263029518644</v>
      </c>
      <c r="IM25">
        <f t="shared" si="6"/>
        <v>164.28821469865574</v>
      </c>
      <c r="IN25">
        <f t="shared" si="6"/>
        <v>165.01426138010001</v>
      </c>
      <c r="IO25">
        <f t="shared" si="6"/>
        <v>165.74077259548474</v>
      </c>
      <c r="IP25">
        <f t="shared" si="6"/>
        <v>166.46775060497203</v>
      </c>
      <c r="IQ25">
        <f t="shared" si="6"/>
        <v>167.19519767294386</v>
      </c>
      <c r="IR25">
        <f t="shared" si="6"/>
        <v>167.92311606802548</v>
      </c>
      <c r="IS25">
        <f t="shared" si="6"/>
        <v>168.65150806310788</v>
      </c>
      <c r="IT25">
        <f t="shared" si="6"/>
        <v>169.380375935372</v>
      </c>
      <c r="IU25">
        <f t="shared" si="6"/>
        <v>170.10972196631155</v>
      </c>
      <c r="IV25">
        <f t="shared" si="6"/>
        <v>170.83954844175642</v>
      </c>
      <c r="IW25">
        <f t="shared" si="6"/>
        <v>171.56985765189674</v>
      </c>
      <c r="IX25">
        <f t="shared" si="6"/>
        <v>172.30065189130576</v>
      </c>
      <c r="IY25">
        <f t="shared" si="6"/>
        <v>173.03193345896418</v>
      </c>
      <c r="IZ25">
        <f t="shared" si="6"/>
        <v>173.76370465828359</v>
      </c>
      <c r="JA25">
        <f t="shared" si="6"/>
        <v>174.49596779713036</v>
      </c>
      <c r="JB25">
        <f t="shared" si="6"/>
        <v>175.22872518784959</v>
      </c>
      <c r="JC25">
        <f t="shared" si="6"/>
        <v>175.96197914728918</v>
      </c>
      <c r="JD25">
        <f t="shared" si="6"/>
        <v>176.69573199682401</v>
      </c>
      <c r="JE25">
        <f t="shared" si="6"/>
        <v>177.42998606237967</v>
      </c>
      <c r="JF25">
        <f t="shared" si="6"/>
        <v>178.16474367445736</v>
      </c>
      <c r="JG25">
        <f t="shared" si="6"/>
        <v>178.90000716815788</v>
      </c>
      <c r="JH25">
        <f t="shared" si="6"/>
        <v>179.63577888320589</v>
      </c>
      <c r="JI25">
        <f t="shared" si="6"/>
        <v>180.37206116397488</v>
      </c>
      <c r="JJ25">
        <f t="shared" si="6"/>
        <v>181.10885635951141</v>
      </c>
      <c r="JK25">
        <f t="shared" si="6"/>
        <v>181.84616682355991</v>
      </c>
      <c r="JL25">
        <f t="shared" si="6"/>
        <v>182.58399491458763</v>
      </c>
      <c r="JM25">
        <f t="shared" si="6"/>
        <v>183.32234299580904</v>
      </c>
      <c r="JN25">
        <f t="shared" si="6"/>
        <v>184.06121343521116</v>
      </c>
      <c r="JO25">
        <f t="shared" si="6"/>
        <v>184.80060860557887</v>
      </c>
      <c r="JP25">
        <f t="shared" si="6"/>
        <v>185.54053088451906</v>
      </c>
      <c r="JQ25">
        <f t="shared" si="6"/>
        <v>186.28098265448673</v>
      </c>
      <c r="JR25">
        <f t="shared" si="6"/>
        <v>187.0219663028102</v>
      </c>
      <c r="JS25">
        <f t="shared" si="6"/>
        <v>187.76348422171591</v>
      </c>
      <c r="JT25">
        <f t="shared" si="6"/>
        <v>188.50553880835463</v>
      </c>
      <c r="JU25">
        <f t="shared" si="6"/>
        <v>189.24813246482645</v>
      </c>
      <c r="JV25">
        <f t="shared" si="6"/>
        <v>189.99126759820697</v>
      </c>
      <c r="JW25">
        <f t="shared" si="6"/>
        <v>190.7349466205724</v>
      </c>
      <c r="JX25">
        <f t="shared" si="6"/>
        <v>191.47917194902612</v>
      </c>
      <c r="JY25">
        <f t="shared" si="6"/>
        <v>192.22394600572423</v>
      </c>
      <c r="JZ25">
        <f t="shared" si="6"/>
        <v>192.96927121790145</v>
      </c>
      <c r="KA25">
        <f t="shared" si="6"/>
        <v>193.71515001789774</v>
      </c>
      <c r="KB25">
        <f t="shared" si="6"/>
        <v>194.46158484318394</v>
      </c>
      <c r="KC25">
        <f t="shared" si="6"/>
        <v>195.20857813638872</v>
      </c>
    </row>
    <row r="26" spans="3:630" x14ac:dyDescent="0.25">
      <c r="C26">
        <f>C27+0.8</f>
        <v>0.86250000000000004</v>
      </c>
      <c r="D26">
        <v>1.1100000000000001</v>
      </c>
      <c r="E26">
        <f t="shared" si="7"/>
        <v>0.55500000000000005</v>
      </c>
      <c r="F26">
        <f t="shared" si="8"/>
        <v>0.36630000000000007</v>
      </c>
      <c r="G26">
        <v>0.8</v>
      </c>
      <c r="J26">
        <f t="shared" si="0"/>
        <v>0.77273297278458397</v>
      </c>
      <c r="K26">
        <f t="shared" si="11"/>
        <v>1.5454680052169045</v>
      </c>
      <c r="L26">
        <f t="shared" si="11"/>
        <v>2.318207156961952</v>
      </c>
      <c r="M26">
        <f t="shared" si="11"/>
        <v>3.0909524877192238</v>
      </c>
      <c r="N26">
        <f t="shared" si="11"/>
        <v>3.8637060572399804</v>
      </c>
      <c r="O26">
        <f t="shared" si="11"/>
        <v>4.6364699253444988</v>
      </c>
      <c r="P26">
        <f t="shared" si="11"/>
        <v>5.4092461519393318</v>
      </c>
      <c r="Q26">
        <f t="shared" si="11"/>
        <v>6.1820367970345638</v>
      </c>
      <c r="R26">
        <f t="shared" si="11"/>
        <v>6.9548439207610651</v>
      </c>
      <c r="S26">
        <f t="shared" si="11"/>
        <v>7.7276695833877707</v>
      </c>
      <c r="T26">
        <f t="shared" si="11"/>
        <v>8.500515845338926</v>
      </c>
      <c r="U26">
        <f t="shared" si="11"/>
        <v>9.2733847672113523</v>
      </c>
      <c r="V26">
        <f t="shared" si="11"/>
        <v>10.046278409791739</v>
      </c>
      <c r="W26">
        <f t="shared" si="11"/>
        <v>10.819198834073889</v>
      </c>
      <c r="X26">
        <f t="shared" si="11"/>
        <v>11.592148101276017</v>
      </c>
      <c r="Y26">
        <f t="shared" si="11"/>
        <v>12.365128272858005</v>
      </c>
      <c r="Z26">
        <f t="shared" si="11"/>
        <v>13.138141410538701</v>
      </c>
      <c r="AA26">
        <f t="shared" si="11"/>
        <v>13.911189576313216</v>
      </c>
      <c r="AB26">
        <f t="shared" si="11"/>
        <v>14.684274832470191</v>
      </c>
      <c r="AC26">
        <f t="shared" si="11"/>
        <v>15.457399241609117</v>
      </c>
      <c r="AD26">
        <f t="shared" si="11"/>
        <v>16.230564866657623</v>
      </c>
      <c r="AE26">
        <f t="shared" si="11"/>
        <v>17.003773770888785</v>
      </c>
      <c r="AF26">
        <f t="shared" si="11"/>
        <v>17.777028017938441</v>
      </c>
      <c r="AG26">
        <f t="shared" si="11"/>
        <v>18.550329671822531</v>
      </c>
      <c r="AH26">
        <f t="shared" si="11"/>
        <v>19.323680796954374</v>
      </c>
      <c r="AI26">
        <f t="shared" si="11"/>
        <v>20.097083458162047</v>
      </c>
      <c r="AJ26">
        <f t="shared" si="11"/>
        <v>20.870539720705697</v>
      </c>
      <c r="AK26">
        <f t="shared" si="11"/>
        <v>21.644051650294891</v>
      </c>
      <c r="AL26">
        <f t="shared" si="11"/>
        <v>22.41762131310599</v>
      </c>
      <c r="AM26">
        <f t="shared" si="11"/>
        <v>23.191250775799475</v>
      </c>
      <c r="AN26">
        <f t="shared" si="11"/>
        <v>23.964942105537329</v>
      </c>
      <c r="AO26">
        <f t="shared" si="11"/>
        <v>24.738697370000452</v>
      </c>
      <c r="AP26">
        <f t="shared" si="11"/>
        <v>25.512518637405964</v>
      </c>
      <c r="AQ26">
        <f t="shared" si="11"/>
        <v>26.286407976524675</v>
      </c>
      <c r="AR26">
        <f t="shared" si="11"/>
        <v>27.060367456698479</v>
      </c>
      <c r="AS26">
        <f t="shared" si="11"/>
        <v>27.834399147857706</v>
      </c>
      <c r="AT26">
        <f t="shared" si="11"/>
        <v>28.608505120538627</v>
      </c>
      <c r="AU26">
        <f t="shared" si="11"/>
        <v>29.382687445900807</v>
      </c>
      <c r="AV26">
        <f t="shared" si="11"/>
        <v>30.156948195744622</v>
      </c>
      <c r="AW26">
        <f t="shared" si="11"/>
        <v>30.931289442528666</v>
      </c>
      <c r="AX26">
        <f t="shared" si="11"/>
        <v>31.70571325938721</v>
      </c>
      <c r="AY26">
        <f t="shared" si="11"/>
        <v>32.480221720147732</v>
      </c>
      <c r="AZ26">
        <f t="shared" si="11"/>
        <v>33.254816899348313</v>
      </c>
      <c r="BA26">
        <f t="shared" si="11"/>
        <v>34.029500872255227</v>
      </c>
      <c r="BB26">
        <f t="shared" si="11"/>
        <v>34.804275714880383</v>
      </c>
      <c r="BC26">
        <f t="shared" si="11"/>
        <v>35.579143503998907</v>
      </c>
      <c r="BD26">
        <f t="shared" si="11"/>
        <v>36.354106317166611</v>
      </c>
      <c r="BE26">
        <f t="shared" si="11"/>
        <v>37.129166232737589</v>
      </c>
      <c r="BF26">
        <f t="shared" si="11"/>
        <v>37.904325329881779</v>
      </c>
      <c r="BG26">
        <f t="shared" si="11"/>
        <v>38.679585688602472</v>
      </c>
      <c r="BH26">
        <f t="shared" si="11"/>
        <v>39.454949389754013</v>
      </c>
      <c r="BI26">
        <f t="shared" si="11"/>
        <v>40.230418515059299</v>
      </c>
      <c r="BJ26">
        <f t="shared" si="11"/>
        <v>41.005995147127479</v>
      </c>
      <c r="BK26">
        <f t="shared" si="11"/>
        <v>41.781681369471436</v>
      </c>
      <c r="BL26">
        <f t="shared" si="11"/>
        <v>42.557479266525661</v>
      </c>
      <c r="BM26">
        <f t="shared" si="11"/>
        <v>43.333390923663742</v>
      </c>
      <c r="BN26">
        <f t="shared" si="11"/>
        <v>44.109418427216085</v>
      </c>
      <c r="BO26">
        <f t="shared" si="11"/>
        <v>44.885563864487587</v>
      </c>
      <c r="BP26">
        <f t="shared" si="11"/>
        <v>45.661829323775429</v>
      </c>
      <c r="BQ26">
        <f t="shared" si="11"/>
        <v>46.438216894386692</v>
      </c>
      <c r="BR26">
        <f t="shared" si="11"/>
        <v>47.214728666656136</v>
      </c>
      <c r="BS26">
        <f t="shared" si="11"/>
        <v>47.99136673196405</v>
      </c>
      <c r="BT26">
        <f t="shared" si="11"/>
        <v>48.768133182753807</v>
      </c>
      <c r="BU26">
        <f t="shared" si="11"/>
        <v>49.545030112549945</v>
      </c>
      <c r="BV26">
        <f t="shared" si="11"/>
        <v>50.322059615975718</v>
      </c>
      <c r="BW26">
        <f t="shared" si="2"/>
        <v>51.09922378877107</v>
      </c>
      <c r="BX26">
        <f t="shared" si="2"/>
        <v>51.876524727810477</v>
      </c>
      <c r="BY26">
        <f t="shared" si="2"/>
        <v>52.653964531120735</v>
      </c>
      <c r="BZ26">
        <f t="shared" si="2"/>
        <v>53.431545297898928</v>
      </c>
      <c r="CA26">
        <f t="shared" si="2"/>
        <v>54.209269128530252</v>
      </c>
      <c r="CB26">
        <f t="shared" si="2"/>
        <v>54.987138124606062</v>
      </c>
      <c r="CC26">
        <f t="shared" si="2"/>
        <v>55.765154388941667</v>
      </c>
      <c r="CD26">
        <f t="shared" si="2"/>
        <v>56.543320025594397</v>
      </c>
      <c r="CE26">
        <f t="shared" si="2"/>
        <v>57.321637139881567</v>
      </c>
      <c r="CF26">
        <f t="shared" si="2"/>
        <v>58.100107838398394</v>
      </c>
      <c r="CG26">
        <f t="shared" si="2"/>
        <v>58.878734229036247</v>
      </c>
      <c r="CH26">
        <f t="shared" si="2"/>
        <v>59.657518421000425</v>
      </c>
      <c r="CI26">
        <f t="shared" si="2"/>
        <v>60.436462524828379</v>
      </c>
      <c r="CJ26">
        <f t="shared" si="2"/>
        <v>61.215568652407846</v>
      </c>
      <c r="CK26">
        <f t="shared" si="2"/>
        <v>61.994838916994759</v>
      </c>
      <c r="CL26">
        <f t="shared" si="2"/>
        <v>62.774275433231686</v>
      </c>
      <c r="CM26">
        <f t="shared" si="2"/>
        <v>63.553880317165643</v>
      </c>
      <c r="CN26">
        <f t="shared" si="2"/>
        <v>64.333655686266681</v>
      </c>
      <c r="CO26">
        <f t="shared" si="2"/>
        <v>65.113603659445602</v>
      </c>
      <c r="CP26">
        <f t="shared" si="2"/>
        <v>65.893726357072694</v>
      </c>
      <c r="CQ26">
        <f t="shared" si="2"/>
        <v>66.674025900995574</v>
      </c>
      <c r="CR26">
        <f t="shared" si="2"/>
        <v>67.454504414557746</v>
      </c>
      <c r="CS26">
        <f t="shared" si="2"/>
        <v>68.2351640226168</v>
      </c>
      <c r="CT26">
        <f t="shared" si="2"/>
        <v>69.016006851562665</v>
      </c>
      <c r="CU26">
        <f t="shared" si="2"/>
        <v>69.797035029336115</v>
      </c>
      <c r="CV26">
        <f t="shared" si="2"/>
        <v>70.578250685447045</v>
      </c>
      <c r="CW26">
        <f t="shared" si="2"/>
        <v>71.359655950992931</v>
      </c>
      <c r="CX26">
        <f t="shared" si="2"/>
        <v>72.141252958677214</v>
      </c>
      <c r="CY26">
        <f t="shared" si="2"/>
        <v>72.923043842827767</v>
      </c>
      <c r="CZ26">
        <f t="shared" si="2"/>
        <v>73.705030739415506</v>
      </c>
      <c r="DA26">
        <f t="shared" si="2"/>
        <v>74.487215786072582</v>
      </c>
      <c r="DB26">
        <f t="shared" si="2"/>
        <v>75.269601122111425</v>
      </c>
      <c r="DC26">
        <f t="shared" si="2"/>
        <v>76.052188888542887</v>
      </c>
      <c r="DD26">
        <f t="shared" si="2"/>
        <v>76.834981228094847</v>
      </c>
      <c r="DE26">
        <f t="shared" si="2"/>
        <v>77.617980285231184</v>
      </c>
      <c r="DF26">
        <f t="shared" si="10"/>
        <v>78.401188206170175</v>
      </c>
      <c r="DG26">
        <f t="shared" si="10"/>
        <v>79.184607138903147</v>
      </c>
      <c r="DH26">
        <f t="shared" si="10"/>
        <v>79.968239233213311</v>
      </c>
      <c r="DI26">
        <f t="shared" si="10"/>
        <v>80.7520866406945</v>
      </c>
      <c r="DJ26">
        <f t="shared" si="10"/>
        <v>81.536151514769841</v>
      </c>
      <c r="DK26">
        <f t="shared" si="10"/>
        <v>82.320436010710679</v>
      </c>
      <c r="DL26">
        <f t="shared" si="10"/>
        <v>83.104942285655341</v>
      </c>
      <c r="DM26">
        <f t="shared" si="10"/>
        <v>83.889672498628059</v>
      </c>
      <c r="DN26">
        <f t="shared" si="10"/>
        <v>84.674628810557763</v>
      </c>
      <c r="DO26">
        <f t="shared" si="10"/>
        <v>85.459813384297078</v>
      </c>
      <c r="DP26">
        <f t="shared" si="10"/>
        <v>86.245228384641422</v>
      </c>
      <c r="DQ26">
        <f t="shared" si="10"/>
        <v>87.030875978347723</v>
      </c>
      <c r="DR26">
        <f t="shared" si="10"/>
        <v>87.816758334153675</v>
      </c>
      <c r="DS26">
        <f t="shared" si="10"/>
        <v>88.602877622796612</v>
      </c>
      <c r="DT26">
        <f t="shared" si="10"/>
        <v>89.389236017032928</v>
      </c>
      <c r="DU26">
        <f t="shared" si="10"/>
        <v>90.175835691656687</v>
      </c>
      <c r="DV26">
        <f t="shared" si="10"/>
        <v>90.962678823519298</v>
      </c>
      <c r="DW26">
        <f t="shared" si="10"/>
        <v>91.749767591548448</v>
      </c>
      <c r="DX26">
        <f t="shared" si="10"/>
        <v>92.537104176767357</v>
      </c>
      <c r="DY26">
        <f t="shared" si="10"/>
        <v>93.324690762314077</v>
      </c>
      <c r="DZ26">
        <f t="shared" si="10"/>
        <v>94.112529533460744</v>
      </c>
      <c r="EA26">
        <f t="shared" si="10"/>
        <v>94.900622677633109</v>
      </c>
      <c r="EB26">
        <f t="shared" si="10"/>
        <v>95.688972384429604</v>
      </c>
      <c r="EC26">
        <f t="shared" si="10"/>
        <v>96.477580845640958</v>
      </c>
      <c r="ED26">
        <f t="shared" si="10"/>
        <v>97.266450255269646</v>
      </c>
      <c r="EE26">
        <f t="shared" si="10"/>
        <v>98.055582809549279</v>
      </c>
      <c r="EF26">
        <f t="shared" si="10"/>
        <v>98.844980706964208</v>
      </c>
      <c r="EG26">
        <f t="shared" si="10"/>
        <v>99.634646148268857</v>
      </c>
      <c r="EH26">
        <f t="shared" si="10"/>
        <v>100.42458133650808</v>
      </c>
      <c r="EI26">
        <f t="shared" si="10"/>
        <v>101.2147884770356</v>
      </c>
      <c r="EJ26">
        <f t="shared" si="10"/>
        <v>102.00526977753462</v>
      </c>
      <c r="EK26">
        <f t="shared" si="10"/>
        <v>102.79602744803718</v>
      </c>
      <c r="EL26">
        <f t="shared" si="10"/>
        <v>103.587063700944</v>
      </c>
      <c r="EM26">
        <f t="shared" si="10"/>
        <v>104.37838075104422</v>
      </c>
      <c r="EN26">
        <f t="shared" si="10"/>
        <v>105.1699808155353</v>
      </c>
      <c r="EO26">
        <f t="shared" si="10"/>
        <v>105.96186611404279</v>
      </c>
      <c r="EP26">
        <f t="shared" si="10"/>
        <v>106.75403886864034</v>
      </c>
      <c r="EQ26">
        <f t="shared" si="10"/>
        <v>107.54650130386972</v>
      </c>
      <c r="ER26">
        <f t="shared" si="10"/>
        <v>108.33925564676066</v>
      </c>
      <c r="ES26">
        <f t="shared" si="10"/>
        <v>109.1323041268509</v>
      </c>
      <c r="ET26">
        <f t="shared" si="10"/>
        <v>109.92564897620649</v>
      </c>
      <c r="EU26">
        <f t="shared" si="10"/>
        <v>110.71929242944171</v>
      </c>
      <c r="EV26">
        <f t="shared" si="10"/>
        <v>111.51323672373921</v>
      </c>
      <c r="EW26">
        <f t="shared" si="10"/>
        <v>112.30748409887048</v>
      </c>
      <c r="EX26">
        <f t="shared" si="10"/>
        <v>113.10203679721585</v>
      </c>
      <c r="EY26">
        <f t="shared" si="10"/>
        <v>113.89689706378478</v>
      </c>
      <c r="EZ26">
        <f t="shared" si="10"/>
        <v>114.69206714623665</v>
      </c>
      <c r="FA26">
        <f t="shared" si="10"/>
        <v>115.48754929490039</v>
      </c>
      <c r="FB26">
        <f t="shared" si="10"/>
        <v>116.28334576279572</v>
      </c>
      <c r="FC26">
        <f t="shared" si="10"/>
        <v>117.07945880565302</v>
      </c>
      <c r="FD26">
        <f t="shared" si="10"/>
        <v>117.87589068193421</v>
      </c>
      <c r="FE26">
        <f t="shared" si="10"/>
        <v>118.6726436528531</v>
      </c>
      <c r="FF26">
        <f t="shared" si="10"/>
        <v>119.46971998239631</v>
      </c>
      <c r="FG26">
        <f t="shared" si="10"/>
        <v>120.26712193734366</v>
      </c>
      <c r="FH26">
        <f t="shared" si="10"/>
        <v>121.06485178728896</v>
      </c>
      <c r="FI26">
        <f t="shared" si="10"/>
        <v>121.86291180466084</v>
      </c>
      <c r="FJ26">
        <f t="shared" si="10"/>
        <v>122.66130426474352</v>
      </c>
      <c r="FK26">
        <f t="shared" si="10"/>
        <v>123.46003144569767</v>
      </c>
      <c r="FL26">
        <f t="shared" si="10"/>
        <v>124.25909562858136</v>
      </c>
      <c r="FM26">
        <f t="shared" si="10"/>
        <v>125.05849909737105</v>
      </c>
      <c r="FN26">
        <f t="shared" si="10"/>
        <v>125.85824413898239</v>
      </c>
      <c r="FO26">
        <f t="shared" si="10"/>
        <v>126.65833304329162</v>
      </c>
      <c r="FP26">
        <f t="shared" si="10"/>
        <v>127.45876810315629</v>
      </c>
      <c r="FQ26">
        <f t="shared" si="10"/>
        <v>128.2595516144369</v>
      </c>
      <c r="FR26">
        <f>($E26*TAN(RADIANS(FR$22)))*$E26*$G26*1000*9.81*(((0.66*($E26/(COS(RADIANS(FR$22)))))+(0.66*$E26))/2)</f>
        <v>129.06068587601766</v>
      </c>
      <c r="FS26">
        <f t="shared" si="5"/>
        <v>129.86217318982804</v>
      </c>
      <c r="FT26">
        <f t="shared" si="5"/>
        <v>130.66401586086394</v>
      </c>
      <c r="FU26">
        <f t="shared" si="5"/>
        <v>131.46621619720915</v>
      </c>
      <c r="FV26">
        <f t="shared" si="5"/>
        <v>132.26877651005677</v>
      </c>
      <c r="FW26">
        <f t="shared" si="5"/>
        <v>133.0716991137306</v>
      </c>
      <c r="FX26">
        <f t="shared" si="5"/>
        <v>133.87498632570689</v>
      </c>
      <c r="FY26">
        <f t="shared" si="5"/>
        <v>134.67864046663558</v>
      </c>
      <c r="FZ26">
        <f t="shared" si="5"/>
        <v>135.48266386036227</v>
      </c>
      <c r="GA26">
        <f t="shared" si="5"/>
        <v>136.28705883394971</v>
      </c>
      <c r="GB26">
        <f t="shared" si="5"/>
        <v>137.09182771769972</v>
      </c>
      <c r="GC26">
        <f t="shared" si="5"/>
        <v>137.89697284517479</v>
      </c>
      <c r="GD26">
        <f t="shared" si="5"/>
        <v>138.70249655322016</v>
      </c>
      <c r="GE26">
        <f t="shared" si="5"/>
        <v>139.50840118198562</v>
      </c>
      <c r="GF26">
        <f t="shared" si="5"/>
        <v>140.31468907494744</v>
      </c>
      <c r="GG26">
        <f t="shared" si="5"/>
        <v>141.12136257893047</v>
      </c>
      <c r="GH26">
        <f t="shared" si="5"/>
        <v>141.9284240441304</v>
      </c>
      <c r="GI26">
        <f t="shared" si="5"/>
        <v>142.73587582413555</v>
      </c>
      <c r="GJ26">
        <f t="shared" si="5"/>
        <v>143.54372027594945</v>
      </c>
      <c r="GK26">
        <f t="shared" si="5"/>
        <v>144.35195976001256</v>
      </c>
      <c r="GL26">
        <f t="shared" si="5"/>
        <v>145.16059664022583</v>
      </c>
      <c r="GM26">
        <f t="shared" si="5"/>
        <v>145.96963328397123</v>
      </c>
      <c r="GN26">
        <f t="shared" si="5"/>
        <v>146.77907206213598</v>
      </c>
      <c r="GO26">
        <f t="shared" si="5"/>
        <v>147.58891534913371</v>
      </c>
      <c r="GP26">
        <f t="shared" si="5"/>
        <v>148.39916552292803</v>
      </c>
      <c r="GQ26">
        <f t="shared" si="5"/>
        <v>149.20982496505457</v>
      </c>
      <c r="GR26">
        <f t="shared" si="5"/>
        <v>150.02089606064385</v>
      </c>
      <c r="GS26">
        <f t="shared" si="5"/>
        <v>150.8323811984441</v>
      </c>
      <c r="GT26">
        <f t="shared" si="5"/>
        <v>151.64428277084406</v>
      </c>
      <c r="GU26">
        <f t="shared" si="5"/>
        <v>152.45660317389559</v>
      </c>
      <c r="GV26">
        <f t="shared" si="5"/>
        <v>153.26934480733715</v>
      </c>
      <c r="GW26">
        <f t="shared" si="5"/>
        <v>154.08251007461641</v>
      </c>
      <c r="GX26">
        <f t="shared" si="5"/>
        <v>154.89610138291349</v>
      </c>
      <c r="GY26">
        <f t="shared" si="5"/>
        <v>155.71012114316383</v>
      </c>
      <c r="GZ26">
        <f t="shared" si="5"/>
        <v>156.52457177008202</v>
      </c>
      <c r="HA26">
        <f t="shared" si="5"/>
        <v>157.33945568218419</v>
      </c>
      <c r="HB26">
        <f t="shared" si="5"/>
        <v>158.15477530181269</v>
      </c>
      <c r="HC26">
        <f t="shared" si="5"/>
        <v>158.97053305515729</v>
      </c>
      <c r="HD26">
        <f t="shared" si="5"/>
        <v>159.78673137228117</v>
      </c>
      <c r="HE26">
        <f t="shared" si="5"/>
        <v>160.60337268714287</v>
      </c>
      <c r="HF26">
        <f t="shared" si="5"/>
        <v>161.42045943762051</v>
      </c>
      <c r="HG26">
        <f t="shared" si="5"/>
        <v>162.23799406553522</v>
      </c>
      <c r="HH26">
        <f t="shared" si="5"/>
        <v>163.05597901667494</v>
      </c>
      <c r="HI26">
        <f t="shared" si="5"/>
        <v>163.87441674081833</v>
      </c>
      <c r="HJ26">
        <f t="shared" si="5"/>
        <v>164.69330969175857</v>
      </c>
      <c r="HK26">
        <f t="shared" si="5"/>
        <v>165.5126603273275</v>
      </c>
      <c r="HL26">
        <f t="shared" si="5"/>
        <v>166.33247110941937</v>
      </c>
      <c r="HM26">
        <f t="shared" si="5"/>
        <v>167.15274450401512</v>
      </c>
      <c r="HN26">
        <f t="shared" si="5"/>
        <v>167.9734829812067</v>
      </c>
      <c r="HO26">
        <f t="shared" si="5"/>
        <v>168.79468901522094</v>
      </c>
      <c r="HP26">
        <f t="shared" si="5"/>
        <v>169.61636508444414</v>
      </c>
      <c r="HQ26">
        <f t="shared" si="5"/>
        <v>170.43851367144646</v>
      </c>
      <c r="HR26">
        <f t="shared" si="5"/>
        <v>171.26113726300639</v>
      </c>
      <c r="HS26">
        <f t="shared" si="5"/>
        <v>172.08423835013519</v>
      </c>
      <c r="HT26">
        <f t="shared" si="5"/>
        <v>172.90781942810153</v>
      </c>
      <c r="HU26">
        <f t="shared" si="5"/>
        <v>173.73188299645636</v>
      </c>
      <c r="HV26">
        <f t="shared" si="5"/>
        <v>174.55643155905742</v>
      </c>
      <c r="HW26">
        <f t="shared" si="5"/>
        <v>175.38146762409423</v>
      </c>
      <c r="HX26">
        <f t="shared" si="5"/>
        <v>176.20699370411316</v>
      </c>
      <c r="HY26">
        <f t="shared" si="5"/>
        <v>177.03301231604215</v>
      </c>
      <c r="HZ26">
        <f t="shared" si="5"/>
        <v>177.85952598121591</v>
      </c>
      <c r="IA26">
        <f t="shared" si="5"/>
        <v>178.68653722540128</v>
      </c>
      <c r="IB26">
        <f t="shared" si="5"/>
        <v>179.51404857882193</v>
      </c>
      <c r="IC26">
        <f t="shared" si="5"/>
        <v>180.34206257618445</v>
      </c>
      <c r="ID26">
        <f t="shared" ref="ID26:KC26" si="12">($E26*TAN(RADIANS(ID$22)))*$E26*$G26*1000*9.81*(((0.66*($E26/(COS(RADIANS(ID$22)))))+(0.66*$E26))/2)</f>
        <v>181.17058175670306</v>
      </c>
      <c r="IE26">
        <f t="shared" si="12"/>
        <v>181.99960866412539</v>
      </c>
      <c r="IF26">
        <f t="shared" si="12"/>
        <v>182.82914584675819</v>
      </c>
      <c r="IG26">
        <f t="shared" si="12"/>
        <v>183.65919585749248</v>
      </c>
      <c r="IH26">
        <f t="shared" si="12"/>
        <v>184.48976125383004</v>
      </c>
      <c r="II26">
        <f t="shared" si="12"/>
        <v>185.32084459790829</v>
      </c>
      <c r="IJ26">
        <f t="shared" si="12"/>
        <v>186.15244845652703</v>
      </c>
      <c r="IK26">
        <f t="shared" si="12"/>
        <v>186.98457540117386</v>
      </c>
      <c r="IL26">
        <f t="shared" si="12"/>
        <v>187.81722800805039</v>
      </c>
      <c r="IM26">
        <f t="shared" si="12"/>
        <v>188.6504088580987</v>
      </c>
      <c r="IN26">
        <f t="shared" si="12"/>
        <v>189.48412053702685</v>
      </c>
      <c r="IO26">
        <f t="shared" si="12"/>
        <v>190.31836563533602</v>
      </c>
      <c r="IP26">
        <f t="shared" si="12"/>
        <v>191.15314674834644</v>
      </c>
      <c r="IQ26">
        <f t="shared" si="12"/>
        <v>191.98846647622364</v>
      </c>
      <c r="IR26">
        <f t="shared" si="12"/>
        <v>192.82432742400584</v>
      </c>
      <c r="IS26">
        <f t="shared" si="12"/>
        <v>193.6607322016298</v>
      </c>
      <c r="IT26">
        <f t="shared" si="12"/>
        <v>194.49768342395802</v>
      </c>
      <c r="IU26">
        <f t="shared" si="12"/>
        <v>195.33518371080538</v>
      </c>
      <c r="IV26">
        <f t="shared" si="12"/>
        <v>196.17323568696622</v>
      </c>
      <c r="IW26">
        <f t="shared" si="12"/>
        <v>197.01184198224132</v>
      </c>
      <c r="IX26">
        <f t="shared" si="12"/>
        <v>197.85100523146488</v>
      </c>
      <c r="IY26">
        <f t="shared" si="12"/>
        <v>198.69072807453188</v>
      </c>
      <c r="IZ26">
        <f t="shared" si="12"/>
        <v>199.5310131564253</v>
      </c>
      <c r="JA26">
        <f t="shared" si="12"/>
        <v>200.37186312724359</v>
      </c>
      <c r="JB26">
        <f t="shared" si="12"/>
        <v>201.21328064222811</v>
      </c>
      <c r="JC26">
        <f t="shared" si="12"/>
        <v>202.05526836179052</v>
      </c>
      <c r="JD26">
        <f t="shared" si="12"/>
        <v>202.89782895154087</v>
      </c>
      <c r="JE26">
        <f t="shared" si="12"/>
        <v>203.740965082315</v>
      </c>
      <c r="JF26">
        <f t="shared" si="12"/>
        <v>204.58467943020236</v>
      </c>
      <c r="JG26">
        <f t="shared" si="12"/>
        <v>205.42897467657446</v>
      </c>
      <c r="JH26">
        <f t="shared" si="12"/>
        <v>206.27385350811221</v>
      </c>
      <c r="JI26">
        <f t="shared" si="12"/>
        <v>207.11931861683482</v>
      </c>
      <c r="JJ26">
        <f t="shared" si="12"/>
        <v>207.96537270012743</v>
      </c>
      <c r="JK26">
        <f t="shared" si="12"/>
        <v>208.81201846076968</v>
      </c>
      <c r="JL26">
        <f t="shared" si="12"/>
        <v>209.6592586069645</v>
      </c>
      <c r="JM26">
        <f t="shared" si="12"/>
        <v>210.50709585236578</v>
      </c>
      <c r="JN26">
        <f t="shared" si="12"/>
        <v>211.35553291610805</v>
      </c>
      <c r="JO26">
        <f t="shared" si="12"/>
        <v>212.20457252283467</v>
      </c>
      <c r="JP26">
        <f t="shared" si="12"/>
        <v>213.05421740272644</v>
      </c>
      <c r="JQ26">
        <f t="shared" si="12"/>
        <v>213.90447029153117</v>
      </c>
      <c r="JR26">
        <f t="shared" si="12"/>
        <v>214.75533393059251</v>
      </c>
      <c r="JS26">
        <f t="shared" si="12"/>
        <v>215.60681106687869</v>
      </c>
      <c r="JT26">
        <f t="shared" si="12"/>
        <v>216.45890445301231</v>
      </c>
      <c r="JU26">
        <f t="shared" si="12"/>
        <v>217.31161684729935</v>
      </c>
      <c r="JV26">
        <f t="shared" si="12"/>
        <v>218.16495101375915</v>
      </c>
      <c r="JW26">
        <f t="shared" si="12"/>
        <v>219.01890972215327</v>
      </c>
      <c r="JX26">
        <f t="shared" si="12"/>
        <v>219.87349574801564</v>
      </c>
      <c r="JY26">
        <f t="shared" si="12"/>
        <v>220.72871187268234</v>
      </c>
      <c r="JZ26">
        <f t="shared" si="12"/>
        <v>221.58456088332133</v>
      </c>
      <c r="KA26">
        <f t="shared" si="12"/>
        <v>222.44104557296257</v>
      </c>
      <c r="KB26">
        <f t="shared" si="12"/>
        <v>223.2981687405279</v>
      </c>
      <c r="KC26">
        <f t="shared" si="12"/>
        <v>224.15593319086182</v>
      </c>
    </row>
    <row r="27" spans="3:630" x14ac:dyDescent="0.25">
      <c r="C27">
        <f>0.125/2</f>
        <v>6.25E-2</v>
      </c>
      <c r="D27">
        <v>1.1499999999999999</v>
      </c>
      <c r="E27">
        <f t="shared" si="7"/>
        <v>0.57499999999999996</v>
      </c>
      <c r="F27">
        <f t="shared" si="8"/>
        <v>0.3795</v>
      </c>
      <c r="G27">
        <v>0.8</v>
      </c>
      <c r="J27">
        <f t="shared" si="0"/>
        <v>0.85931823714419586</v>
      </c>
      <c r="K27">
        <f t="shared" si="11"/>
        <v>1.7186387647210826</v>
      </c>
      <c r="L27">
        <f t="shared" si="11"/>
        <v>2.5779638731825365</v>
      </c>
      <c r="M27">
        <f t="shared" si="11"/>
        <v>3.4372958530188127</v>
      </c>
      <c r="N27">
        <f t="shared" si="11"/>
        <v>4.2966369947777228</v>
      </c>
      <c r="O27">
        <f t="shared" si="11"/>
        <v>5.1559895890838332</v>
      </c>
      <c r="P27">
        <f t="shared" si="11"/>
        <v>6.0153559266576488</v>
      </c>
      <c r="Q27">
        <f t="shared" si="11"/>
        <v>6.8747382983348118</v>
      </c>
      <c r="R27">
        <f t="shared" si="11"/>
        <v>7.7341389950852832</v>
      </c>
      <c r="S27">
        <f t="shared" si="11"/>
        <v>8.5935603080325542</v>
      </c>
      <c r="T27">
        <f t="shared" si="11"/>
        <v>9.4530045284728335</v>
      </c>
      <c r="U27">
        <f t="shared" si="11"/>
        <v>10.312473947894247</v>
      </c>
      <c r="V27">
        <f t="shared" si="11"/>
        <v>11.171970857996058</v>
      </c>
      <c r="W27">
        <f t="shared" si="11"/>
        <v>12.031497550707845</v>
      </c>
      <c r="X27">
        <f t="shared" si="11"/>
        <v>12.891056318208753</v>
      </c>
      <c r="Y27">
        <f t="shared" si="11"/>
        <v>13.750649452946671</v>
      </c>
      <c r="Z27">
        <f t="shared" si="11"/>
        <v>14.61027924765747</v>
      </c>
      <c r="AA27">
        <f t="shared" si="11"/>
        <v>15.469947995384246</v>
      </c>
      <c r="AB27">
        <f t="shared" si="11"/>
        <v>16.329657989496496</v>
      </c>
      <c r="AC27">
        <f t="shared" si="11"/>
        <v>17.189411523709431</v>
      </c>
      <c r="AD27">
        <f t="shared" si="11"/>
        <v>18.04921089210314</v>
      </c>
      <c r="AE27">
        <f t="shared" si="11"/>
        <v>18.909058389141862</v>
      </c>
      <c r="AF27">
        <f t="shared" si="11"/>
        <v>19.76895630969328</v>
      </c>
      <c r="AG27">
        <f t="shared" si="11"/>
        <v>20.628906949047717</v>
      </c>
      <c r="AH27">
        <f t="shared" si="11"/>
        <v>21.488912602937464</v>
      </c>
      <c r="AI27">
        <f t="shared" si="11"/>
        <v>22.34897556755601</v>
      </c>
      <c r="AJ27">
        <f t="shared" si="11"/>
        <v>23.209098139577314</v>
      </c>
      <c r="AK27">
        <f t="shared" si="11"/>
        <v>24.069282616175144</v>
      </c>
      <c r="AL27">
        <f t="shared" si="11"/>
        <v>24.929531295042342</v>
      </c>
      <c r="AM27">
        <f t="shared" si="11"/>
        <v>25.78984647441014</v>
      </c>
      <c r="AN27">
        <f t="shared" si="11"/>
        <v>26.65023045306744</v>
      </c>
      <c r="AO27">
        <f t="shared" si="11"/>
        <v>27.510685530380208</v>
      </c>
      <c r="AP27">
        <f t="shared" si="11"/>
        <v>28.371214006310744</v>
      </c>
      <c r="AQ27">
        <f t="shared" si="11"/>
        <v>29.23181818143706</v>
      </c>
      <c r="AR27">
        <f t="shared" si="11"/>
        <v>30.09250035697222</v>
      </c>
      <c r="AS27">
        <f t="shared" si="11"/>
        <v>30.9532628347837</v>
      </c>
      <c r="AT27">
        <f t="shared" si="11"/>
        <v>31.814107917412777</v>
      </c>
      <c r="AU27">
        <f t="shared" si="11"/>
        <v>32.675037908093898</v>
      </c>
      <c r="AV27">
        <f t="shared" si="11"/>
        <v>33.536055110774093</v>
      </c>
      <c r="AW27">
        <f t="shared" si="11"/>
        <v>34.397161830132376</v>
      </c>
      <c r="AX27">
        <f t="shared" si="11"/>
        <v>35.258360371599132</v>
      </c>
      <c r="AY27">
        <f t="shared" si="11"/>
        <v>36.119653041375678</v>
      </c>
      <c r="AZ27">
        <f t="shared" si="11"/>
        <v>36.981042146453483</v>
      </c>
      <c r="BA27">
        <f t="shared" si="11"/>
        <v>37.8425299946339</v>
      </c>
      <c r="BB27">
        <f t="shared" si="11"/>
        <v>38.704118894547349</v>
      </c>
      <c r="BC27">
        <f t="shared" si="11"/>
        <v>39.56581115567306</v>
      </c>
      <c r="BD27">
        <f t="shared" si="11"/>
        <v>40.427609088358437</v>
      </c>
      <c r="BE27">
        <f t="shared" si="11"/>
        <v>41.289515003838574</v>
      </c>
      <c r="BF27">
        <f t="shared" si="11"/>
        <v>42.151531214255826</v>
      </c>
      <c r="BG27">
        <f t="shared" si="11"/>
        <v>43.013660032679326</v>
      </c>
      <c r="BH27">
        <f t="shared" si="11"/>
        <v>43.875903773124556</v>
      </c>
      <c r="BI27">
        <f t="shared" si="11"/>
        <v>44.738264750572917</v>
      </c>
      <c r="BJ27">
        <f t="shared" si="11"/>
        <v>45.600745280991319</v>
      </c>
      <c r="BK27">
        <f t="shared" si="11"/>
        <v>46.463347681351792</v>
      </c>
      <c r="BL27">
        <f t="shared" si="11"/>
        <v>47.32607426965108</v>
      </c>
      <c r="BM27">
        <f t="shared" si="11"/>
        <v>48.188927364930343</v>
      </c>
      <c r="BN27">
        <f t="shared" si="11"/>
        <v>49.05190928729477</v>
      </c>
      <c r="BO27">
        <f t="shared" si="11"/>
        <v>49.915022357933182</v>
      </c>
      <c r="BP27">
        <f t="shared" si="11"/>
        <v>50.778268899137949</v>
      </c>
      <c r="BQ27">
        <f t="shared" si="11"/>
        <v>51.641651234324407</v>
      </c>
      <c r="BR27">
        <f t="shared" si="11"/>
        <v>52.505171688050829</v>
      </c>
      <c r="BS27">
        <f t="shared" si="11"/>
        <v>53.368832586038017</v>
      </c>
      <c r="BT27">
        <f t="shared" si="11"/>
        <v>54.232636255189192</v>
      </c>
      <c r="BU27">
        <f t="shared" si="11"/>
        <v>55.096585023609691</v>
      </c>
      <c r="BV27">
        <f t="shared" si="11"/>
        <v>55.960681220626789</v>
      </c>
      <c r="BW27">
        <f t="shared" si="2"/>
        <v>56.82492717680951</v>
      </c>
      <c r="BX27">
        <f t="shared" si="2"/>
        <v>57.689325223988575</v>
      </c>
      <c r="BY27">
        <f t="shared" si="2"/>
        <v>58.553877695276135</v>
      </c>
      <c r="BZ27">
        <f t="shared" si="2"/>
        <v>59.418586925085755</v>
      </c>
      <c r="CA27">
        <f t="shared" si="2"/>
        <v>60.283455249152304</v>
      </c>
      <c r="CB27">
        <f t="shared" si="2"/>
        <v>61.148485004551823</v>
      </c>
      <c r="CC27">
        <f t="shared" si="2"/>
        <v>62.01367852972156</v>
      </c>
      <c r="CD27">
        <f t="shared" si="2"/>
        <v>62.879038164479923</v>
      </c>
      <c r="CE27">
        <f t="shared" si="2"/>
        <v>63.744566250046468</v>
      </c>
      <c r="CF27">
        <f t="shared" si="2"/>
        <v>64.610265129061943</v>
      </c>
      <c r="CG27">
        <f t="shared" si="2"/>
        <v>65.47613714560832</v>
      </c>
      <c r="CH27">
        <f t="shared" si="2"/>
        <v>66.342184645228841</v>
      </c>
      <c r="CI27">
        <f t="shared" si="2"/>
        <v>67.20840997494814</v>
      </c>
      <c r="CJ27">
        <f t="shared" si="2"/>
        <v>68.074815483292454</v>
      </c>
      <c r="CK27">
        <f t="shared" si="2"/>
        <v>68.941403520309478</v>
      </c>
      <c r="CL27">
        <f t="shared" si="2"/>
        <v>69.808176437588926</v>
      </c>
      <c r="CM27">
        <f t="shared" si="2"/>
        <v>70.675136588282413</v>
      </c>
      <c r="CN27">
        <f t="shared" si="2"/>
        <v>71.54228632712389</v>
      </c>
      <c r="CO27">
        <f t="shared" si="2"/>
        <v>72.40962801044968</v>
      </c>
      <c r="CP27">
        <f t="shared" si="2"/>
        <v>73.277163996218931</v>
      </c>
      <c r="CQ27">
        <f t="shared" si="2"/>
        <v>74.144896644033793</v>
      </c>
      <c r="CR27">
        <f t="shared" si="2"/>
        <v>75.012828315159922</v>
      </c>
      <c r="CS27">
        <f t="shared" si="2"/>
        <v>75.880961372546608</v>
      </c>
      <c r="CT27">
        <f t="shared" si="2"/>
        <v>76.749298180847248</v>
      </c>
      <c r="CU27">
        <f t="shared" si="2"/>
        <v>77.617841106439897</v>
      </c>
      <c r="CV27">
        <f t="shared" si="2"/>
        <v>78.486592517447505</v>
      </c>
      <c r="CW27">
        <f t="shared" si="2"/>
        <v>79.355554783758436</v>
      </c>
      <c r="CX27">
        <f t="shared" si="2"/>
        <v>80.224730277047058</v>
      </c>
      <c r="CY27">
        <f t="shared" si="2"/>
        <v>81.094121370794213</v>
      </c>
      <c r="CZ27">
        <f t="shared" si="2"/>
        <v>81.9637304403077</v>
      </c>
      <c r="DA27">
        <f t="shared" si="2"/>
        <v>82.833559862743016</v>
      </c>
      <c r="DB27">
        <f t="shared" si="2"/>
        <v>83.703612017123902</v>
      </c>
      <c r="DC27">
        <f t="shared" si="2"/>
        <v>84.573889284362949</v>
      </c>
      <c r="DD27">
        <f t="shared" si="2"/>
        <v>85.444394047282273</v>
      </c>
      <c r="DE27">
        <f t="shared" si="2"/>
        <v>86.315128690634339</v>
      </c>
      <c r="DF27">
        <f t="shared" si="10"/>
        <v>87.186095601122688</v>
      </c>
      <c r="DG27">
        <f t="shared" si="10"/>
        <v>88.057297167422547</v>
      </c>
      <c r="DH27">
        <f t="shared" si="10"/>
        <v>88.928735780201848</v>
      </c>
      <c r="DI27">
        <f t="shared" si="10"/>
        <v>89.800413832141999</v>
      </c>
      <c r="DJ27">
        <f t="shared" si="10"/>
        <v>90.672333717958665</v>
      </c>
      <c r="DK27">
        <f t="shared" si="10"/>
        <v>91.544497834422856</v>
      </c>
      <c r="DL27">
        <f t="shared" si="10"/>
        <v>92.416908580381687</v>
      </c>
      <c r="DM27">
        <f t="shared" si="10"/>
        <v>93.289568356779625</v>
      </c>
      <c r="DN27">
        <f t="shared" si="10"/>
        <v>94.162479566679139</v>
      </c>
      <c r="DO27">
        <f t="shared" si="10"/>
        <v>95.03564461528201</v>
      </c>
      <c r="DP27">
        <f t="shared" si="10"/>
        <v>95.909065909950442</v>
      </c>
      <c r="DQ27">
        <f t="shared" si="10"/>
        <v>96.782745860228033</v>
      </c>
      <c r="DR27">
        <f t="shared" si="10"/>
        <v>97.656686877860992</v>
      </c>
      <c r="DS27">
        <f t="shared" si="10"/>
        <v>98.530891376819312</v>
      </c>
      <c r="DT27">
        <f t="shared" si="10"/>
        <v>99.405361773318148</v>
      </c>
      <c r="DU27">
        <f t="shared" si="10"/>
        <v>100.28010048583886</v>
      </c>
      <c r="DV27">
        <f t="shared" si="10"/>
        <v>101.15510993515049</v>
      </c>
      <c r="DW27">
        <f t="shared" si="10"/>
        <v>102.03039254433116</v>
      </c>
      <c r="DX27">
        <f t="shared" si="10"/>
        <v>102.90595073878919</v>
      </c>
      <c r="DY27">
        <f t="shared" si="10"/>
        <v>103.78178694628471</v>
      </c>
      <c r="DZ27">
        <f t="shared" si="10"/>
        <v>104.65790359695129</v>
      </c>
      <c r="EA27">
        <f t="shared" si="10"/>
        <v>105.534303123317</v>
      </c>
      <c r="EB27">
        <f t="shared" si="10"/>
        <v>106.41098796032652</v>
      </c>
      <c r="EC27">
        <f t="shared" si="10"/>
        <v>107.2879605453621</v>
      </c>
      <c r="ED27">
        <f t="shared" si="10"/>
        <v>108.16522331826582</v>
      </c>
      <c r="EE27">
        <f t="shared" si="10"/>
        <v>109.04277872136062</v>
      </c>
      <c r="EF27">
        <f t="shared" si="10"/>
        <v>109.92062919947274</v>
      </c>
      <c r="EG27">
        <f t="shared" si="10"/>
        <v>110.79877719995261</v>
      </c>
      <c r="EH27">
        <f t="shared" si="10"/>
        <v>111.67722517269767</v>
      </c>
      <c r="EI27">
        <f t="shared" si="10"/>
        <v>112.55597557017309</v>
      </c>
      <c r="EJ27">
        <f t="shared" si="10"/>
        <v>113.43503084743463</v>
      </c>
      <c r="EK27">
        <f t="shared" si="10"/>
        <v>114.31439346214985</v>
      </c>
      <c r="EL27">
        <f t="shared" si="10"/>
        <v>115.19406587462051</v>
      </c>
      <c r="EM27">
        <f t="shared" si="10"/>
        <v>116.07405054780442</v>
      </c>
      <c r="EN27">
        <f t="shared" si="10"/>
        <v>116.95434994733751</v>
      </c>
      <c r="EO27">
        <f t="shared" si="10"/>
        <v>117.83496654155593</v>
      </c>
      <c r="EP27">
        <f t="shared" si="10"/>
        <v>118.71590280151834</v>
      </c>
      <c r="EQ27">
        <f t="shared" si="10"/>
        <v>119.59716120102773</v>
      </c>
      <c r="ER27">
        <f t="shared" si="10"/>
        <v>120.47874421665421</v>
      </c>
      <c r="ES27">
        <f t="shared" si="10"/>
        <v>121.36065432775673</v>
      </c>
      <c r="ET27">
        <f t="shared" si="10"/>
        <v>122.2428940165059</v>
      </c>
      <c r="EU27">
        <f t="shared" si="10"/>
        <v>123.12546576790601</v>
      </c>
      <c r="EV27">
        <f t="shared" si="10"/>
        <v>124.00837206981765</v>
      </c>
      <c r="EW27">
        <f t="shared" si="10"/>
        <v>124.89161541298022</v>
      </c>
      <c r="EX27">
        <f t="shared" si="10"/>
        <v>125.7751982910343</v>
      </c>
      <c r="EY27">
        <f t="shared" si="10"/>
        <v>126.65912320054433</v>
      </c>
      <c r="EZ27">
        <f t="shared" si="10"/>
        <v>127.54339264102127</v>
      </c>
      <c r="FA27">
        <f t="shared" si="10"/>
        <v>128.42800911494516</v>
      </c>
      <c r="FB27">
        <f t="shared" si="10"/>
        <v>129.31297512778806</v>
      </c>
      <c r="FC27">
        <f t="shared" si="10"/>
        <v>130.19829318803642</v>
      </c>
      <c r="FD27">
        <f t="shared" si="10"/>
        <v>131.08396580721447</v>
      </c>
      <c r="FE27">
        <f t="shared" si="10"/>
        <v>131.96999549990667</v>
      </c>
      <c r="FF27">
        <f t="shared" si="10"/>
        <v>132.85638478378084</v>
      </c>
      <c r="FG27">
        <f t="shared" si="10"/>
        <v>133.74313617961093</v>
      </c>
      <c r="FH27">
        <f t="shared" si="10"/>
        <v>134.63025221130042</v>
      </c>
      <c r="FI27">
        <f t="shared" si="10"/>
        <v>135.51773540590517</v>
      </c>
      <c r="FJ27">
        <f t="shared" si="10"/>
        <v>136.40558829365648</v>
      </c>
      <c r="FK27">
        <f t="shared" si="10"/>
        <v>137.29381340798457</v>
      </c>
      <c r="FL27">
        <f t="shared" si="10"/>
        <v>138.18241328554166</v>
      </c>
      <c r="FM27">
        <f t="shared" si="10"/>
        <v>139.07139046622527</v>
      </c>
      <c r="FN27">
        <f t="shared" si="10"/>
        <v>139.96074749320158</v>
      </c>
      <c r="FO27">
        <f t="shared" si="10"/>
        <v>140.85048691292903</v>
      </c>
      <c r="FP27">
        <f t="shared" si="10"/>
        <v>141.74061127518149</v>
      </c>
      <c r="FQ27">
        <f t="shared" ref="FQ27:IB31" si="13">($E27*TAN(RADIANS(FQ$22)))*$E27*$G27*1000*9.81*(((0.66*($E27/(COS(RADIANS(FQ$22)))))+(0.66*$E27))/2)</f>
        <v>142.63112313307218</v>
      </c>
      <c r="FR27">
        <f t="shared" si="13"/>
        <v>143.52202504307689</v>
      </c>
      <c r="FS27">
        <f t="shared" si="13"/>
        <v>144.41331956505786</v>
      </c>
      <c r="FT27">
        <f t="shared" si="13"/>
        <v>145.30500926228743</v>
      </c>
      <c r="FU27">
        <f t="shared" si="13"/>
        <v>146.19709670147165</v>
      </c>
      <c r="FV27">
        <f t="shared" si="13"/>
        <v>147.08958445277455</v>
      </c>
      <c r="FW27">
        <f t="shared" si="13"/>
        <v>147.98247508984147</v>
      </c>
      <c r="FX27">
        <f t="shared" si="13"/>
        <v>148.87577118982341</v>
      </c>
      <c r="FY27">
        <f t="shared" si="13"/>
        <v>149.76947533340083</v>
      </c>
      <c r="FZ27">
        <f t="shared" si="13"/>
        <v>150.66359010480775</v>
      </c>
      <c r="GA27">
        <f t="shared" si="13"/>
        <v>151.55811809185604</v>
      </c>
      <c r="GB27">
        <f t="shared" si="13"/>
        <v>152.45306188595936</v>
      </c>
      <c r="GC27">
        <f t="shared" si="13"/>
        <v>153.34842408215746</v>
      </c>
      <c r="GD27">
        <f t="shared" si="13"/>
        <v>154.24420727914082</v>
      </c>
      <c r="GE27">
        <f t="shared" si="13"/>
        <v>155.14041407927451</v>
      </c>
      <c r="GF27">
        <f t="shared" si="13"/>
        <v>156.03704708862296</v>
      </c>
      <c r="GG27">
        <f t="shared" si="13"/>
        <v>156.93410891697451</v>
      </c>
      <c r="GH27">
        <f t="shared" si="13"/>
        <v>157.83160217786573</v>
      </c>
      <c r="GI27">
        <f t="shared" si="13"/>
        <v>158.72952948860626</v>
      </c>
      <c r="GJ27">
        <f t="shared" si="13"/>
        <v>159.62789347030341</v>
      </c>
      <c r="GK27">
        <f t="shared" si="13"/>
        <v>160.52669674788672</v>
      </c>
      <c r="GL27">
        <f t="shared" si="13"/>
        <v>161.42594195013373</v>
      </c>
      <c r="GM27">
        <f t="shared" si="13"/>
        <v>162.3256317096934</v>
      </c>
      <c r="GN27">
        <f t="shared" si="13"/>
        <v>163.22576866311229</v>
      </c>
      <c r="GO27">
        <f t="shared" si="13"/>
        <v>164.12635545085894</v>
      </c>
      <c r="GP27">
        <f t="shared" si="13"/>
        <v>165.02739471734921</v>
      </c>
      <c r="GQ27">
        <f t="shared" si="13"/>
        <v>165.9288891109716</v>
      </c>
      <c r="GR27">
        <f t="shared" si="13"/>
        <v>166.83084128411218</v>
      </c>
      <c r="GS27">
        <f t="shared" si="13"/>
        <v>167.73325389317998</v>
      </c>
      <c r="GT27">
        <f t="shared" si="13"/>
        <v>168.63612959863244</v>
      </c>
      <c r="GU27">
        <f t="shared" si="13"/>
        <v>169.53947106500095</v>
      </c>
      <c r="GV27">
        <f t="shared" si="13"/>
        <v>170.44328096091618</v>
      </c>
      <c r="GW27">
        <f t="shared" si="13"/>
        <v>171.34756195913374</v>
      </c>
      <c r="GX27">
        <f t="shared" si="13"/>
        <v>172.25231673656006</v>
      </c>
      <c r="GY27">
        <f t="shared" si="13"/>
        <v>173.15754797427761</v>
      </c>
      <c r="GZ27">
        <f t="shared" si="13"/>
        <v>174.06325835757104</v>
      </c>
      <c r="HA27">
        <f t="shared" si="13"/>
        <v>174.96945057595346</v>
      </c>
      <c r="HB27">
        <f t="shared" si="13"/>
        <v>175.87612732319189</v>
      </c>
      <c r="HC27">
        <f t="shared" si="13"/>
        <v>176.78329129733254</v>
      </c>
      <c r="HD27">
        <f t="shared" si="13"/>
        <v>177.69094520072881</v>
      </c>
      <c r="HE27">
        <f t="shared" si="13"/>
        <v>178.59909174006606</v>
      </c>
      <c r="HF27">
        <f t="shared" si="13"/>
        <v>179.50773362638824</v>
      </c>
      <c r="HG27">
        <f t="shared" si="13"/>
        <v>180.41687357512424</v>
      </c>
      <c r="HH27">
        <f t="shared" si="13"/>
        <v>181.32651430611426</v>
      </c>
      <c r="HI27">
        <f t="shared" si="13"/>
        <v>182.23665854363634</v>
      </c>
      <c r="HJ27">
        <f t="shared" si="13"/>
        <v>183.14730901643293</v>
      </c>
      <c r="HK27">
        <f t="shared" si="13"/>
        <v>184.05846845773758</v>
      </c>
      <c r="HL27">
        <f t="shared" si="13"/>
        <v>184.97013960530145</v>
      </c>
      <c r="HM27">
        <f t="shared" si="13"/>
        <v>185.88232520142049</v>
      </c>
      <c r="HN27">
        <f t="shared" si="13"/>
        <v>186.79502799296202</v>
      </c>
      <c r="HO27">
        <f t="shared" si="13"/>
        <v>187.70825073139173</v>
      </c>
      <c r="HP27">
        <f t="shared" si="13"/>
        <v>188.62199617280092</v>
      </c>
      <c r="HQ27">
        <f t="shared" si="13"/>
        <v>189.53626707793333</v>
      </c>
      <c r="HR27">
        <f t="shared" si="13"/>
        <v>190.45106621221271</v>
      </c>
      <c r="HS27">
        <f t="shared" si="13"/>
        <v>191.36639634577</v>
      </c>
      <c r="HT27">
        <f t="shared" si="13"/>
        <v>192.28226025347024</v>
      </c>
      <c r="HU27">
        <f t="shared" si="13"/>
        <v>193.19866071494093</v>
      </c>
      <c r="HV27">
        <f t="shared" si="13"/>
        <v>194.11560051459881</v>
      </c>
      <c r="HW27">
        <f t="shared" si="13"/>
        <v>195.03308244167772</v>
      </c>
      <c r="HX27">
        <f t="shared" si="13"/>
        <v>195.9511092902566</v>
      </c>
      <c r="HY27">
        <f t="shared" si="13"/>
        <v>196.86968385928694</v>
      </c>
      <c r="HZ27">
        <f t="shared" si="13"/>
        <v>197.7888089526208</v>
      </c>
      <c r="IA27">
        <f t="shared" si="13"/>
        <v>198.70848737903867</v>
      </c>
      <c r="IB27">
        <f t="shared" si="13"/>
        <v>199.62872195227791</v>
      </c>
      <c r="IC27">
        <f t="shared" ref="IC27:KC31" si="14">($E27*TAN(RADIANS(IC$22)))*$E27*$G27*1000*9.81*(((0.66*($E27/(COS(RADIANS(IC$22)))))+(0.66*$E27))/2)</f>
        <v>200.54951549106036</v>
      </c>
      <c r="ID27">
        <f t="shared" si="14"/>
        <v>201.47087081912125</v>
      </c>
      <c r="IE27">
        <f t="shared" si="14"/>
        <v>202.39279076523681</v>
      </c>
      <c r="IF27">
        <f t="shared" si="14"/>
        <v>203.31527816325328</v>
      </c>
      <c r="IG27">
        <f t="shared" si="14"/>
        <v>204.23833585211491</v>
      </c>
      <c r="IH27">
        <f t="shared" si="14"/>
        <v>205.1619666758933</v>
      </c>
      <c r="II27">
        <f t="shared" si="14"/>
        <v>206.08617348381517</v>
      </c>
      <c r="IJ27">
        <f t="shared" si="14"/>
        <v>207.01095913029204</v>
      </c>
      <c r="IK27">
        <f t="shared" si="14"/>
        <v>207.9363264749484</v>
      </c>
      <c r="IL27">
        <f t="shared" si="14"/>
        <v>208.86227838265111</v>
      </c>
      <c r="IM27">
        <f t="shared" si="14"/>
        <v>209.78881772353847</v>
      </c>
      <c r="IN27">
        <f t="shared" si="14"/>
        <v>210.71594737304909</v>
      </c>
      <c r="IO27">
        <f t="shared" si="14"/>
        <v>211.64367021195162</v>
      </c>
      <c r="IP27">
        <f t="shared" si="14"/>
        <v>212.57198912637341</v>
      </c>
      <c r="IQ27">
        <f t="shared" si="14"/>
        <v>213.50090700783062</v>
      </c>
      <c r="IR27">
        <f t="shared" si="14"/>
        <v>214.43042675325788</v>
      </c>
      <c r="IS27">
        <f t="shared" si="14"/>
        <v>215.36055126503678</v>
      </c>
      <c r="IT27">
        <f t="shared" si="14"/>
        <v>216.29128345102731</v>
      </c>
      <c r="IU27">
        <f t="shared" si="14"/>
        <v>217.22262622459644</v>
      </c>
      <c r="IV27">
        <f t="shared" si="14"/>
        <v>218.15458250464832</v>
      </c>
      <c r="IW27">
        <f t="shared" si="14"/>
        <v>219.08715521565475</v>
      </c>
      <c r="IX27">
        <f t="shared" si="14"/>
        <v>220.02034728768501</v>
      </c>
      <c r="IY27">
        <f t="shared" si="14"/>
        <v>220.95416165643618</v>
      </c>
      <c r="IZ27">
        <f t="shared" si="14"/>
        <v>221.88860126326341</v>
      </c>
      <c r="JA27">
        <f t="shared" si="14"/>
        <v>222.82366905521042</v>
      </c>
      <c r="JB27">
        <f t="shared" si="14"/>
        <v>223.75936798504023</v>
      </c>
      <c r="JC27">
        <f t="shared" si="14"/>
        <v>224.69570101126547</v>
      </c>
      <c r="JD27">
        <f t="shared" si="14"/>
        <v>225.63267109817966</v>
      </c>
      <c r="JE27">
        <f t="shared" si="14"/>
        <v>226.5702812158876</v>
      </c>
      <c r="JF27">
        <f t="shared" si="14"/>
        <v>227.50853434033661</v>
      </c>
      <c r="JG27">
        <f t="shared" si="14"/>
        <v>228.4474334533474</v>
      </c>
      <c r="JH27">
        <f t="shared" si="14"/>
        <v>229.3869815426456</v>
      </c>
      <c r="JI27">
        <f t="shared" si="14"/>
        <v>230.32718160189299</v>
      </c>
      <c r="JJ27">
        <f t="shared" si="14"/>
        <v>231.26803663071846</v>
      </c>
      <c r="JK27">
        <f t="shared" si="14"/>
        <v>232.2095496347502</v>
      </c>
      <c r="JL27">
        <f t="shared" si="14"/>
        <v>233.15172362564678</v>
      </c>
      <c r="JM27">
        <f t="shared" si="14"/>
        <v>234.09456162112929</v>
      </c>
      <c r="JN27">
        <f t="shared" si="14"/>
        <v>235.03806664501295</v>
      </c>
      <c r="JO27">
        <f t="shared" si="14"/>
        <v>235.98224172723928</v>
      </c>
      <c r="JP27">
        <f t="shared" si="14"/>
        <v>236.92708990390784</v>
      </c>
      <c r="JQ27">
        <f t="shared" si="14"/>
        <v>237.87261421730895</v>
      </c>
      <c r="JR27">
        <f t="shared" si="14"/>
        <v>238.81881771595539</v>
      </c>
      <c r="JS27">
        <f t="shared" si="14"/>
        <v>239.76570345461525</v>
      </c>
      <c r="JT27">
        <f t="shared" si="14"/>
        <v>240.71327449434455</v>
      </c>
      <c r="JU27">
        <f t="shared" si="14"/>
        <v>241.66153390251921</v>
      </c>
      <c r="JV27">
        <f t="shared" si="14"/>
        <v>242.61048475286884</v>
      </c>
      <c r="JW27">
        <f t="shared" si="14"/>
        <v>243.56013012550872</v>
      </c>
      <c r="JX27">
        <f t="shared" si="14"/>
        <v>244.51047310697336</v>
      </c>
      <c r="JY27">
        <f t="shared" si="14"/>
        <v>245.46151679024942</v>
      </c>
      <c r="JZ27">
        <f t="shared" si="14"/>
        <v>246.41326427480885</v>
      </c>
      <c r="KA27">
        <f t="shared" si="14"/>
        <v>247.36571866664269</v>
      </c>
      <c r="KB27">
        <f t="shared" si="14"/>
        <v>248.31888307829388</v>
      </c>
      <c r="KC27">
        <f t="shared" si="14"/>
        <v>249.27276062889166</v>
      </c>
    </row>
    <row r="28" spans="3:630" x14ac:dyDescent="0.25">
      <c r="C28">
        <f>0.8-C27</f>
        <v>0.73750000000000004</v>
      </c>
      <c r="D28">
        <v>1.1499999999999999</v>
      </c>
      <c r="E28">
        <f t="shared" si="7"/>
        <v>0.57499999999999996</v>
      </c>
      <c r="F28">
        <f t="shared" si="8"/>
        <v>0.3795</v>
      </c>
      <c r="G28">
        <v>0.8</v>
      </c>
      <c r="J28">
        <f t="shared" si="0"/>
        <v>0.85931823714419586</v>
      </c>
      <c r="K28">
        <f t="shared" si="11"/>
        <v>1.7186387647210826</v>
      </c>
      <c r="L28">
        <f t="shared" si="11"/>
        <v>2.5779638731825365</v>
      </c>
      <c r="M28">
        <f>($E28*TAN(RADIANS(M$22)))*$E28*$G28*1000*9.81*(((0.66*($E28/(COS(RADIANS(M$22)))))+(0.66*$E28))/2)</f>
        <v>3.4372958530188127</v>
      </c>
      <c r="N28">
        <f t="shared" si="11"/>
        <v>4.2966369947777228</v>
      </c>
      <c r="O28">
        <f t="shared" si="11"/>
        <v>5.1559895890838332</v>
      </c>
      <c r="P28">
        <f t="shared" si="11"/>
        <v>6.0153559266576488</v>
      </c>
      <c r="Q28">
        <f t="shared" si="11"/>
        <v>6.8747382983348118</v>
      </c>
      <c r="R28">
        <f t="shared" si="11"/>
        <v>7.7341389950852832</v>
      </c>
      <c r="S28">
        <f t="shared" si="11"/>
        <v>8.5935603080325542</v>
      </c>
      <c r="T28">
        <f t="shared" si="11"/>
        <v>9.4530045284728335</v>
      </c>
      <c r="U28">
        <f t="shared" si="11"/>
        <v>10.312473947894247</v>
      </c>
      <c r="V28">
        <f t="shared" si="11"/>
        <v>11.171970857996058</v>
      </c>
      <c r="W28">
        <f t="shared" si="11"/>
        <v>12.031497550707845</v>
      </c>
      <c r="X28">
        <f t="shared" si="11"/>
        <v>12.891056318208753</v>
      </c>
      <c r="Y28">
        <f t="shared" si="11"/>
        <v>13.750649452946671</v>
      </c>
      <c r="Z28">
        <f t="shared" si="11"/>
        <v>14.61027924765747</v>
      </c>
      <c r="AA28">
        <f t="shared" si="11"/>
        <v>15.469947995384246</v>
      </c>
      <c r="AB28">
        <f t="shared" si="11"/>
        <v>16.329657989496496</v>
      </c>
      <c r="AC28">
        <f t="shared" si="11"/>
        <v>17.189411523709431</v>
      </c>
      <c r="AD28">
        <f t="shared" si="11"/>
        <v>18.04921089210314</v>
      </c>
      <c r="AE28">
        <f t="shared" si="11"/>
        <v>18.909058389141862</v>
      </c>
      <c r="AF28">
        <f t="shared" si="11"/>
        <v>19.76895630969328</v>
      </c>
      <c r="AG28">
        <f t="shared" si="11"/>
        <v>20.628906949047717</v>
      </c>
      <c r="AH28">
        <f t="shared" si="11"/>
        <v>21.488912602937464</v>
      </c>
      <c r="AI28">
        <f t="shared" si="11"/>
        <v>22.34897556755601</v>
      </c>
      <c r="AJ28">
        <f t="shared" si="11"/>
        <v>23.209098139577314</v>
      </c>
      <c r="AK28">
        <f t="shared" si="11"/>
        <v>24.069282616175144</v>
      </c>
      <c r="AL28">
        <f t="shared" si="11"/>
        <v>24.929531295042342</v>
      </c>
      <c r="AM28">
        <f t="shared" si="11"/>
        <v>25.78984647441014</v>
      </c>
      <c r="AN28">
        <f t="shared" si="11"/>
        <v>26.65023045306744</v>
      </c>
      <c r="AO28">
        <f t="shared" si="11"/>
        <v>27.510685530380208</v>
      </c>
      <c r="AP28">
        <f t="shared" si="11"/>
        <v>28.371214006310744</v>
      </c>
      <c r="AQ28">
        <f t="shared" si="11"/>
        <v>29.23181818143706</v>
      </c>
      <c r="AR28">
        <f t="shared" si="11"/>
        <v>30.09250035697222</v>
      </c>
      <c r="AS28">
        <f t="shared" si="11"/>
        <v>30.9532628347837</v>
      </c>
      <c r="AT28">
        <f t="shared" si="11"/>
        <v>31.814107917412777</v>
      </c>
      <c r="AU28">
        <f t="shared" si="11"/>
        <v>32.675037908093898</v>
      </c>
      <c r="AV28">
        <f t="shared" si="11"/>
        <v>33.536055110774093</v>
      </c>
      <c r="AW28">
        <f t="shared" si="11"/>
        <v>34.397161830132376</v>
      </c>
      <c r="AX28">
        <f t="shared" si="11"/>
        <v>35.258360371599132</v>
      </c>
      <c r="AY28">
        <f t="shared" si="11"/>
        <v>36.119653041375678</v>
      </c>
      <c r="AZ28">
        <f t="shared" si="11"/>
        <v>36.981042146453483</v>
      </c>
      <c r="BA28">
        <f t="shared" si="11"/>
        <v>37.8425299946339</v>
      </c>
      <c r="BB28">
        <f t="shared" si="11"/>
        <v>38.704118894547349</v>
      </c>
      <c r="BC28">
        <f t="shared" si="11"/>
        <v>39.56581115567306</v>
      </c>
      <c r="BD28">
        <f t="shared" si="11"/>
        <v>40.427609088358437</v>
      </c>
      <c r="BE28">
        <f t="shared" si="11"/>
        <v>41.289515003838574</v>
      </c>
      <c r="BF28">
        <f t="shared" si="11"/>
        <v>42.151531214255826</v>
      </c>
      <c r="BG28">
        <f t="shared" si="11"/>
        <v>43.013660032679326</v>
      </c>
      <c r="BH28">
        <f t="shared" si="11"/>
        <v>43.875903773124556</v>
      </c>
      <c r="BI28">
        <f t="shared" si="11"/>
        <v>44.738264750572917</v>
      </c>
      <c r="BJ28">
        <f t="shared" si="11"/>
        <v>45.600745280991319</v>
      </c>
      <c r="BK28">
        <f t="shared" si="11"/>
        <v>46.463347681351792</v>
      </c>
      <c r="BL28">
        <f t="shared" si="11"/>
        <v>47.32607426965108</v>
      </c>
      <c r="BM28">
        <f t="shared" si="11"/>
        <v>48.188927364930343</v>
      </c>
      <c r="BN28">
        <f t="shared" si="11"/>
        <v>49.05190928729477</v>
      </c>
      <c r="BO28">
        <f t="shared" si="11"/>
        <v>49.915022357933182</v>
      </c>
      <c r="BP28">
        <f t="shared" si="11"/>
        <v>50.778268899137949</v>
      </c>
      <c r="BQ28">
        <f t="shared" si="11"/>
        <v>51.641651234324407</v>
      </c>
      <c r="BR28">
        <f t="shared" si="11"/>
        <v>52.505171688050829</v>
      </c>
      <c r="BS28">
        <f t="shared" si="11"/>
        <v>53.368832586038017</v>
      </c>
      <c r="BT28">
        <f t="shared" si="11"/>
        <v>54.232636255189192</v>
      </c>
      <c r="BU28">
        <f t="shared" si="11"/>
        <v>55.096585023609691</v>
      </c>
      <c r="BV28">
        <f t="shared" ref="BV28:DF31" si="15">($E28*TAN(RADIANS(BV$22)))*$E28*$G28*1000*9.81*(((0.66*($E28/(COS(RADIANS(BV$22)))))+(0.66*$E28))/2)</f>
        <v>55.960681220626789</v>
      </c>
      <c r="BW28">
        <f t="shared" si="15"/>
        <v>56.82492717680951</v>
      </c>
      <c r="BX28">
        <f t="shared" si="15"/>
        <v>57.689325223988575</v>
      </c>
      <c r="BY28">
        <f t="shared" si="15"/>
        <v>58.553877695276135</v>
      </c>
      <c r="BZ28">
        <f t="shared" si="15"/>
        <v>59.418586925085755</v>
      </c>
      <c r="CA28">
        <f t="shared" si="15"/>
        <v>60.283455249152304</v>
      </c>
      <c r="CB28">
        <f t="shared" si="15"/>
        <v>61.148485004551823</v>
      </c>
      <c r="CC28">
        <f t="shared" si="15"/>
        <v>62.01367852972156</v>
      </c>
      <c r="CD28">
        <f t="shared" si="15"/>
        <v>62.879038164479923</v>
      </c>
      <c r="CE28">
        <f t="shared" si="15"/>
        <v>63.744566250046468</v>
      </c>
      <c r="CF28">
        <f t="shared" si="15"/>
        <v>64.610265129061943</v>
      </c>
      <c r="CG28">
        <f t="shared" si="15"/>
        <v>65.47613714560832</v>
      </c>
      <c r="CH28">
        <f t="shared" si="15"/>
        <v>66.342184645228841</v>
      </c>
      <c r="CI28">
        <f t="shared" si="15"/>
        <v>67.20840997494814</v>
      </c>
      <c r="CJ28">
        <f t="shared" si="15"/>
        <v>68.074815483292454</v>
      </c>
      <c r="CK28">
        <f t="shared" si="15"/>
        <v>68.941403520309478</v>
      </c>
      <c r="CL28">
        <f t="shared" si="15"/>
        <v>69.808176437588926</v>
      </c>
      <c r="CM28">
        <f t="shared" si="15"/>
        <v>70.675136588282413</v>
      </c>
      <c r="CN28">
        <f t="shared" si="15"/>
        <v>71.54228632712389</v>
      </c>
      <c r="CO28">
        <f t="shared" si="15"/>
        <v>72.40962801044968</v>
      </c>
      <c r="CP28">
        <f t="shared" si="15"/>
        <v>73.277163996218931</v>
      </c>
      <c r="CQ28">
        <f t="shared" si="15"/>
        <v>74.144896644033793</v>
      </c>
      <c r="CR28">
        <f t="shared" si="15"/>
        <v>75.012828315159922</v>
      </c>
      <c r="CS28">
        <f t="shared" si="15"/>
        <v>75.880961372546608</v>
      </c>
      <c r="CT28">
        <f t="shared" si="15"/>
        <v>76.749298180847248</v>
      </c>
      <c r="CU28">
        <f t="shared" si="15"/>
        <v>77.617841106439897</v>
      </c>
      <c r="CV28">
        <f t="shared" si="15"/>
        <v>78.486592517447505</v>
      </c>
      <c r="CW28">
        <f t="shared" si="15"/>
        <v>79.355554783758436</v>
      </c>
      <c r="CX28">
        <f t="shared" si="15"/>
        <v>80.224730277047058</v>
      </c>
      <c r="CY28">
        <f t="shared" si="15"/>
        <v>81.094121370794213</v>
      </c>
      <c r="CZ28">
        <f t="shared" si="15"/>
        <v>81.9637304403077</v>
      </c>
      <c r="DA28">
        <f t="shared" si="15"/>
        <v>82.833559862743016</v>
      </c>
      <c r="DB28">
        <f t="shared" si="15"/>
        <v>83.703612017123902</v>
      </c>
      <c r="DC28">
        <f t="shared" si="15"/>
        <v>84.573889284362949</v>
      </c>
      <c r="DD28">
        <f t="shared" si="15"/>
        <v>85.444394047282273</v>
      </c>
      <c r="DE28">
        <f t="shared" si="15"/>
        <v>86.315128690634339</v>
      </c>
      <c r="DF28">
        <f t="shared" si="15"/>
        <v>87.186095601122688</v>
      </c>
      <c r="DG28">
        <f t="shared" ref="DG28:EL28" si="16">($E28*TAN(RADIANS(DG$22)))*$E28*$G28*1000*9.81*(((0.66*($E28/(COS(RADIANS(DG$22)))))+(0.66*$E28))/2)</f>
        <v>88.057297167422547</v>
      </c>
      <c r="DH28">
        <f t="shared" si="16"/>
        <v>88.928735780201848</v>
      </c>
      <c r="DI28">
        <f t="shared" si="16"/>
        <v>89.800413832141999</v>
      </c>
      <c r="DJ28">
        <f t="shared" si="16"/>
        <v>90.672333717958665</v>
      </c>
      <c r="DK28">
        <f t="shared" si="16"/>
        <v>91.544497834422856</v>
      </c>
      <c r="DL28">
        <f t="shared" si="16"/>
        <v>92.416908580381687</v>
      </c>
      <c r="DM28">
        <f t="shared" si="16"/>
        <v>93.289568356779625</v>
      </c>
      <c r="DN28">
        <f t="shared" si="16"/>
        <v>94.162479566679139</v>
      </c>
      <c r="DO28">
        <f t="shared" si="16"/>
        <v>95.03564461528201</v>
      </c>
      <c r="DP28">
        <f t="shared" si="16"/>
        <v>95.909065909950442</v>
      </c>
      <c r="DQ28">
        <f t="shared" si="16"/>
        <v>96.782745860228033</v>
      </c>
      <c r="DR28">
        <f t="shared" si="16"/>
        <v>97.656686877860992</v>
      </c>
      <c r="DS28">
        <f t="shared" si="16"/>
        <v>98.530891376819312</v>
      </c>
      <c r="DT28">
        <f t="shared" si="16"/>
        <v>99.405361773318148</v>
      </c>
      <c r="DU28">
        <f t="shared" si="16"/>
        <v>100.28010048583886</v>
      </c>
      <c r="DV28">
        <f t="shared" si="16"/>
        <v>101.15510993515049</v>
      </c>
      <c r="DW28">
        <f t="shared" si="16"/>
        <v>102.03039254433116</v>
      </c>
      <c r="DX28">
        <f t="shared" si="16"/>
        <v>102.90595073878919</v>
      </c>
      <c r="DY28">
        <f t="shared" si="16"/>
        <v>103.78178694628471</v>
      </c>
      <c r="DZ28">
        <f t="shared" si="16"/>
        <v>104.65790359695129</v>
      </c>
      <c r="EA28">
        <f t="shared" si="16"/>
        <v>105.534303123317</v>
      </c>
      <c r="EB28">
        <f t="shared" si="16"/>
        <v>106.41098796032652</v>
      </c>
      <c r="EC28">
        <f t="shared" si="16"/>
        <v>107.2879605453621</v>
      </c>
      <c r="ED28">
        <f t="shared" si="16"/>
        <v>108.16522331826582</v>
      </c>
      <c r="EE28">
        <f t="shared" si="16"/>
        <v>109.04277872136062</v>
      </c>
      <c r="EF28">
        <f t="shared" si="16"/>
        <v>109.92062919947274</v>
      </c>
      <c r="EG28">
        <f t="shared" si="16"/>
        <v>110.79877719995261</v>
      </c>
      <c r="EH28">
        <f t="shared" si="16"/>
        <v>111.67722517269767</v>
      </c>
      <c r="EI28">
        <f t="shared" si="16"/>
        <v>112.55597557017309</v>
      </c>
      <c r="EJ28">
        <f t="shared" si="16"/>
        <v>113.43503084743463</v>
      </c>
      <c r="EK28">
        <f t="shared" si="16"/>
        <v>114.31439346214985</v>
      </c>
      <c r="EL28">
        <f t="shared" si="16"/>
        <v>115.19406587462051</v>
      </c>
      <c r="EM28">
        <f t="shared" ref="EM28:FR28" si="17">($E28*TAN(RADIANS(EM$22)))*$E28*$G28*1000*9.81*(((0.66*($E28/(COS(RADIANS(EM$22)))))+(0.66*$E28))/2)</f>
        <v>116.07405054780442</v>
      </c>
      <c r="EN28">
        <f t="shared" si="17"/>
        <v>116.95434994733751</v>
      </c>
      <c r="EO28">
        <f t="shared" si="17"/>
        <v>117.83496654155593</v>
      </c>
      <c r="EP28">
        <f t="shared" si="17"/>
        <v>118.71590280151834</v>
      </c>
      <c r="EQ28">
        <f t="shared" si="17"/>
        <v>119.59716120102773</v>
      </c>
      <c r="ER28">
        <f t="shared" si="17"/>
        <v>120.47874421665421</v>
      </c>
      <c r="ES28">
        <f t="shared" si="17"/>
        <v>121.36065432775673</v>
      </c>
      <c r="ET28">
        <f t="shared" si="17"/>
        <v>122.2428940165059</v>
      </c>
      <c r="EU28">
        <f t="shared" si="17"/>
        <v>123.12546576790601</v>
      </c>
      <c r="EV28">
        <f t="shared" si="17"/>
        <v>124.00837206981765</v>
      </c>
      <c r="EW28">
        <f t="shared" si="17"/>
        <v>124.89161541298022</v>
      </c>
      <c r="EX28">
        <f t="shared" si="17"/>
        <v>125.7751982910343</v>
      </c>
      <c r="EY28">
        <f t="shared" si="17"/>
        <v>126.65912320054433</v>
      </c>
      <c r="EZ28">
        <f t="shared" si="17"/>
        <v>127.54339264102127</v>
      </c>
      <c r="FA28">
        <f t="shared" si="17"/>
        <v>128.42800911494516</v>
      </c>
      <c r="FB28">
        <f t="shared" si="17"/>
        <v>129.31297512778806</v>
      </c>
      <c r="FC28">
        <f t="shared" si="17"/>
        <v>130.19829318803642</v>
      </c>
      <c r="FD28">
        <f t="shared" si="17"/>
        <v>131.08396580721447</v>
      </c>
      <c r="FE28">
        <f t="shared" si="17"/>
        <v>131.96999549990667</v>
      </c>
      <c r="FF28">
        <f t="shared" si="17"/>
        <v>132.85638478378084</v>
      </c>
      <c r="FG28">
        <f t="shared" si="17"/>
        <v>133.74313617961093</v>
      </c>
      <c r="FH28">
        <f t="shared" si="17"/>
        <v>134.63025221130042</v>
      </c>
      <c r="FI28">
        <f t="shared" si="17"/>
        <v>135.51773540590517</v>
      </c>
      <c r="FJ28">
        <f t="shared" si="17"/>
        <v>136.40558829365648</v>
      </c>
      <c r="FK28">
        <f t="shared" si="17"/>
        <v>137.29381340798457</v>
      </c>
      <c r="FL28">
        <f t="shared" si="17"/>
        <v>138.18241328554166</v>
      </c>
      <c r="FM28">
        <f t="shared" si="17"/>
        <v>139.07139046622527</v>
      </c>
      <c r="FN28">
        <f t="shared" si="17"/>
        <v>139.96074749320158</v>
      </c>
      <c r="FO28">
        <f t="shared" si="17"/>
        <v>140.85048691292903</v>
      </c>
      <c r="FP28">
        <f t="shared" si="17"/>
        <v>141.74061127518149</v>
      </c>
      <c r="FQ28">
        <f t="shared" si="17"/>
        <v>142.63112313307218</v>
      </c>
      <c r="FR28">
        <f t="shared" si="17"/>
        <v>143.52202504307689</v>
      </c>
      <c r="FS28">
        <f t="shared" si="13"/>
        <v>144.41331956505786</v>
      </c>
      <c r="FT28">
        <f t="shared" si="13"/>
        <v>145.30500926228743</v>
      </c>
      <c r="FU28">
        <f t="shared" si="13"/>
        <v>146.19709670147165</v>
      </c>
      <c r="FV28">
        <f t="shared" si="13"/>
        <v>147.08958445277455</v>
      </c>
      <c r="FW28">
        <f t="shared" si="13"/>
        <v>147.98247508984147</v>
      </c>
      <c r="FX28">
        <f t="shared" si="13"/>
        <v>148.87577118982341</v>
      </c>
      <c r="FY28">
        <f t="shared" si="13"/>
        <v>149.76947533340083</v>
      </c>
      <c r="FZ28">
        <f t="shared" si="13"/>
        <v>150.66359010480775</v>
      </c>
      <c r="GA28">
        <f t="shared" si="13"/>
        <v>151.55811809185604</v>
      </c>
      <c r="GB28">
        <f t="shared" si="13"/>
        <v>152.45306188595936</v>
      </c>
      <c r="GC28">
        <f t="shared" si="13"/>
        <v>153.34842408215746</v>
      </c>
      <c r="GD28">
        <f t="shared" si="13"/>
        <v>154.24420727914082</v>
      </c>
      <c r="GE28">
        <f t="shared" si="13"/>
        <v>155.14041407927451</v>
      </c>
      <c r="GF28">
        <f t="shared" si="13"/>
        <v>156.03704708862296</v>
      </c>
      <c r="GG28">
        <f t="shared" si="13"/>
        <v>156.93410891697451</v>
      </c>
      <c r="GH28">
        <f t="shared" si="13"/>
        <v>157.83160217786573</v>
      </c>
      <c r="GI28">
        <f t="shared" si="13"/>
        <v>158.72952948860626</v>
      </c>
      <c r="GJ28">
        <f t="shared" si="13"/>
        <v>159.62789347030341</v>
      </c>
      <c r="GK28">
        <f t="shared" si="13"/>
        <v>160.52669674788672</v>
      </c>
      <c r="GL28">
        <f t="shared" si="13"/>
        <v>161.42594195013373</v>
      </c>
      <c r="GM28">
        <f t="shared" si="13"/>
        <v>162.3256317096934</v>
      </c>
      <c r="GN28">
        <f t="shared" si="13"/>
        <v>163.22576866311229</v>
      </c>
      <c r="GO28">
        <f t="shared" si="13"/>
        <v>164.12635545085894</v>
      </c>
      <c r="GP28">
        <f t="shared" si="13"/>
        <v>165.02739471734921</v>
      </c>
      <c r="GQ28">
        <f t="shared" si="13"/>
        <v>165.9288891109716</v>
      </c>
      <c r="GR28">
        <f t="shared" si="13"/>
        <v>166.83084128411218</v>
      </c>
      <c r="GS28">
        <f t="shared" si="13"/>
        <v>167.73325389317998</v>
      </c>
      <c r="GT28">
        <f t="shared" si="13"/>
        <v>168.63612959863244</v>
      </c>
      <c r="GU28">
        <f t="shared" si="13"/>
        <v>169.53947106500095</v>
      </c>
      <c r="GV28">
        <f t="shared" si="13"/>
        <v>170.44328096091618</v>
      </c>
      <c r="GW28">
        <f t="shared" si="13"/>
        <v>171.34756195913374</v>
      </c>
      <c r="GX28">
        <f t="shared" si="13"/>
        <v>172.25231673656006</v>
      </c>
      <c r="GY28">
        <f t="shared" si="13"/>
        <v>173.15754797427761</v>
      </c>
      <c r="GZ28">
        <f t="shared" si="13"/>
        <v>174.06325835757104</v>
      </c>
      <c r="HA28">
        <f t="shared" si="13"/>
        <v>174.96945057595346</v>
      </c>
      <c r="HB28">
        <f t="shared" si="13"/>
        <v>175.87612732319189</v>
      </c>
      <c r="HC28">
        <f t="shared" si="13"/>
        <v>176.78329129733254</v>
      </c>
      <c r="HD28">
        <f t="shared" si="13"/>
        <v>177.69094520072881</v>
      </c>
      <c r="HE28">
        <f t="shared" si="13"/>
        <v>178.59909174006606</v>
      </c>
      <c r="HF28">
        <f t="shared" si="13"/>
        <v>179.50773362638824</v>
      </c>
      <c r="HG28">
        <f t="shared" si="13"/>
        <v>180.41687357512424</v>
      </c>
      <c r="HH28">
        <f t="shared" si="13"/>
        <v>181.32651430611426</v>
      </c>
      <c r="HI28">
        <f t="shared" si="13"/>
        <v>182.23665854363634</v>
      </c>
      <c r="HJ28">
        <f t="shared" si="13"/>
        <v>183.14730901643293</v>
      </c>
      <c r="HK28">
        <f t="shared" si="13"/>
        <v>184.05846845773758</v>
      </c>
      <c r="HL28">
        <f t="shared" si="13"/>
        <v>184.97013960530145</v>
      </c>
      <c r="HM28">
        <f t="shared" si="13"/>
        <v>185.88232520142049</v>
      </c>
      <c r="HN28">
        <f t="shared" si="13"/>
        <v>186.79502799296202</v>
      </c>
      <c r="HO28">
        <f t="shared" si="13"/>
        <v>187.70825073139173</v>
      </c>
      <c r="HP28">
        <f t="shared" si="13"/>
        <v>188.62199617280092</v>
      </c>
      <c r="HQ28">
        <f t="shared" si="13"/>
        <v>189.53626707793333</v>
      </c>
      <c r="HR28">
        <f t="shared" si="13"/>
        <v>190.45106621221271</v>
      </c>
      <c r="HS28">
        <f t="shared" si="13"/>
        <v>191.36639634577</v>
      </c>
      <c r="HT28">
        <f t="shared" si="13"/>
        <v>192.28226025347024</v>
      </c>
      <c r="HU28">
        <f t="shared" si="13"/>
        <v>193.19866071494093</v>
      </c>
      <c r="HV28">
        <f t="shared" si="13"/>
        <v>194.11560051459881</v>
      </c>
      <c r="HW28">
        <f t="shared" si="13"/>
        <v>195.03308244167772</v>
      </c>
      <c r="HX28">
        <f t="shared" si="13"/>
        <v>195.9511092902566</v>
      </c>
      <c r="HY28">
        <f t="shared" si="13"/>
        <v>196.86968385928694</v>
      </c>
      <c r="HZ28">
        <f t="shared" si="13"/>
        <v>197.7888089526208</v>
      </c>
      <c r="IA28">
        <f t="shared" si="13"/>
        <v>198.70848737903867</v>
      </c>
      <c r="IB28">
        <f t="shared" si="13"/>
        <v>199.62872195227791</v>
      </c>
      <c r="IC28">
        <f t="shared" si="14"/>
        <v>200.54951549106036</v>
      </c>
      <c r="ID28">
        <f t="shared" si="14"/>
        <v>201.47087081912125</v>
      </c>
      <c r="IE28">
        <f t="shared" si="14"/>
        <v>202.39279076523681</v>
      </c>
      <c r="IF28">
        <f t="shared" si="14"/>
        <v>203.31527816325328</v>
      </c>
      <c r="IG28">
        <f t="shared" si="14"/>
        <v>204.23833585211491</v>
      </c>
      <c r="IH28">
        <f t="shared" si="14"/>
        <v>205.1619666758933</v>
      </c>
      <c r="II28">
        <f t="shared" si="14"/>
        <v>206.08617348381517</v>
      </c>
      <c r="IJ28">
        <f t="shared" si="14"/>
        <v>207.01095913029204</v>
      </c>
      <c r="IK28">
        <f t="shared" si="14"/>
        <v>207.9363264749484</v>
      </c>
      <c r="IL28">
        <f t="shared" si="14"/>
        <v>208.86227838265111</v>
      </c>
      <c r="IM28">
        <f t="shared" si="14"/>
        <v>209.78881772353847</v>
      </c>
      <c r="IN28">
        <f t="shared" si="14"/>
        <v>210.71594737304909</v>
      </c>
      <c r="IO28">
        <f t="shared" si="14"/>
        <v>211.64367021195162</v>
      </c>
      <c r="IP28">
        <f t="shared" si="14"/>
        <v>212.57198912637341</v>
      </c>
      <c r="IQ28">
        <f t="shared" si="14"/>
        <v>213.50090700783062</v>
      </c>
      <c r="IR28">
        <f t="shared" si="14"/>
        <v>214.43042675325788</v>
      </c>
      <c r="IS28">
        <f t="shared" si="14"/>
        <v>215.36055126503678</v>
      </c>
      <c r="IT28">
        <f t="shared" si="14"/>
        <v>216.29128345102731</v>
      </c>
      <c r="IU28">
        <f t="shared" si="14"/>
        <v>217.22262622459644</v>
      </c>
      <c r="IV28">
        <f t="shared" si="14"/>
        <v>218.15458250464832</v>
      </c>
      <c r="IW28">
        <f t="shared" si="14"/>
        <v>219.08715521565475</v>
      </c>
      <c r="IX28">
        <f t="shared" si="14"/>
        <v>220.02034728768501</v>
      </c>
      <c r="IY28">
        <f t="shared" si="14"/>
        <v>220.95416165643618</v>
      </c>
      <c r="IZ28">
        <f t="shared" si="14"/>
        <v>221.88860126326341</v>
      </c>
      <c r="JA28">
        <f t="shared" si="14"/>
        <v>222.82366905521042</v>
      </c>
      <c r="JB28">
        <f t="shared" si="14"/>
        <v>223.75936798504023</v>
      </c>
      <c r="JC28">
        <f t="shared" si="14"/>
        <v>224.69570101126547</v>
      </c>
      <c r="JD28">
        <f t="shared" si="14"/>
        <v>225.63267109817966</v>
      </c>
      <c r="JE28">
        <f t="shared" si="14"/>
        <v>226.5702812158876</v>
      </c>
      <c r="JF28">
        <f t="shared" si="14"/>
        <v>227.50853434033661</v>
      </c>
      <c r="JG28">
        <f t="shared" si="14"/>
        <v>228.4474334533474</v>
      </c>
      <c r="JH28">
        <f t="shared" si="14"/>
        <v>229.3869815426456</v>
      </c>
      <c r="JI28">
        <f t="shared" si="14"/>
        <v>230.32718160189299</v>
      </c>
      <c r="JJ28">
        <f t="shared" si="14"/>
        <v>231.26803663071846</v>
      </c>
      <c r="JK28">
        <f t="shared" si="14"/>
        <v>232.2095496347502</v>
      </c>
      <c r="JL28">
        <f t="shared" si="14"/>
        <v>233.15172362564678</v>
      </c>
      <c r="JM28">
        <f t="shared" si="14"/>
        <v>234.09456162112929</v>
      </c>
      <c r="JN28">
        <f t="shared" si="14"/>
        <v>235.03806664501295</v>
      </c>
      <c r="JO28">
        <f t="shared" si="14"/>
        <v>235.98224172723928</v>
      </c>
      <c r="JP28">
        <f t="shared" si="14"/>
        <v>236.92708990390784</v>
      </c>
      <c r="JQ28">
        <f t="shared" si="14"/>
        <v>237.87261421730895</v>
      </c>
      <c r="JR28">
        <f t="shared" si="14"/>
        <v>238.81881771595539</v>
      </c>
      <c r="JS28">
        <f t="shared" si="14"/>
        <v>239.76570345461525</v>
      </c>
      <c r="JT28">
        <f t="shared" si="14"/>
        <v>240.71327449434455</v>
      </c>
      <c r="JU28">
        <f t="shared" si="14"/>
        <v>241.66153390251921</v>
      </c>
      <c r="JV28">
        <f t="shared" si="14"/>
        <v>242.61048475286884</v>
      </c>
      <c r="JW28">
        <f t="shared" si="14"/>
        <v>243.56013012550872</v>
      </c>
      <c r="JX28">
        <f t="shared" si="14"/>
        <v>244.51047310697336</v>
      </c>
      <c r="JY28">
        <f t="shared" si="14"/>
        <v>245.46151679024942</v>
      </c>
      <c r="JZ28">
        <f t="shared" si="14"/>
        <v>246.41326427480885</v>
      </c>
      <c r="KA28">
        <f t="shared" si="14"/>
        <v>247.36571866664269</v>
      </c>
      <c r="KB28">
        <f t="shared" si="14"/>
        <v>248.31888307829388</v>
      </c>
      <c r="KC28">
        <f t="shared" si="14"/>
        <v>249.27276062889166</v>
      </c>
    </row>
    <row r="29" spans="3:630" x14ac:dyDescent="0.25">
      <c r="C29">
        <f>C28+0.8</f>
        <v>1.5375000000000001</v>
      </c>
      <c r="D29">
        <v>1.1100000000000001</v>
      </c>
      <c r="E29">
        <f t="shared" si="7"/>
        <v>0.55500000000000005</v>
      </c>
      <c r="F29">
        <f t="shared" si="8"/>
        <v>0.36630000000000007</v>
      </c>
      <c r="G29">
        <v>0.8</v>
      </c>
      <c r="J29">
        <f t="shared" si="0"/>
        <v>0.77273297278458397</v>
      </c>
      <c r="K29">
        <f t="shared" ref="K29:BV32" si="18">($E29*TAN(RADIANS(K$22)))*$E29*$G29*1000*9.81*(((0.66*($E29/(COS(RADIANS(K$22)))))+(0.66*$E29))/2)</f>
        <v>1.5454680052169045</v>
      </c>
      <c r="L29">
        <f t="shared" si="18"/>
        <v>2.318207156961952</v>
      </c>
      <c r="M29">
        <f t="shared" si="18"/>
        <v>3.0909524877192238</v>
      </c>
      <c r="N29">
        <f t="shared" si="18"/>
        <v>3.8637060572399804</v>
      </c>
      <c r="O29">
        <f t="shared" si="18"/>
        <v>4.6364699253444988</v>
      </c>
      <c r="P29">
        <f t="shared" si="18"/>
        <v>5.4092461519393318</v>
      </c>
      <c r="Q29">
        <f t="shared" si="18"/>
        <v>6.1820367970345638</v>
      </c>
      <c r="R29">
        <f t="shared" si="18"/>
        <v>6.9548439207610651</v>
      </c>
      <c r="S29">
        <f t="shared" si="18"/>
        <v>7.7276695833877707</v>
      </c>
      <c r="T29">
        <f t="shared" si="18"/>
        <v>8.500515845338926</v>
      </c>
      <c r="U29">
        <f t="shared" si="18"/>
        <v>9.2733847672113523</v>
      </c>
      <c r="V29">
        <f t="shared" si="18"/>
        <v>10.046278409791739</v>
      </c>
      <c r="W29">
        <f t="shared" si="18"/>
        <v>10.819198834073889</v>
      </c>
      <c r="X29">
        <f t="shared" si="18"/>
        <v>11.592148101276017</v>
      </c>
      <c r="Y29">
        <f t="shared" si="18"/>
        <v>12.365128272858005</v>
      </c>
      <c r="Z29">
        <f t="shared" si="18"/>
        <v>13.138141410538701</v>
      </c>
      <c r="AA29">
        <f t="shared" si="18"/>
        <v>13.911189576313216</v>
      </c>
      <c r="AB29">
        <f t="shared" si="18"/>
        <v>14.684274832470191</v>
      </c>
      <c r="AC29">
        <f t="shared" si="18"/>
        <v>15.457399241609117</v>
      </c>
      <c r="AD29">
        <f t="shared" si="18"/>
        <v>16.230564866657623</v>
      </c>
      <c r="AE29">
        <f t="shared" si="18"/>
        <v>17.003773770888785</v>
      </c>
      <c r="AF29">
        <f t="shared" si="18"/>
        <v>17.777028017938441</v>
      </c>
      <c r="AG29">
        <f t="shared" si="18"/>
        <v>18.550329671822531</v>
      </c>
      <c r="AH29">
        <f t="shared" si="18"/>
        <v>19.323680796954374</v>
      </c>
      <c r="AI29">
        <f t="shared" si="18"/>
        <v>20.097083458162047</v>
      </c>
      <c r="AJ29">
        <f t="shared" si="18"/>
        <v>20.870539720705697</v>
      </c>
      <c r="AK29">
        <f t="shared" si="18"/>
        <v>21.644051650294891</v>
      </c>
      <c r="AL29">
        <f t="shared" si="18"/>
        <v>22.41762131310599</v>
      </c>
      <c r="AM29">
        <f t="shared" si="18"/>
        <v>23.191250775799475</v>
      </c>
      <c r="AN29">
        <f t="shared" si="18"/>
        <v>23.964942105537329</v>
      </c>
      <c r="AO29">
        <f t="shared" si="18"/>
        <v>24.738697370000452</v>
      </c>
      <c r="AP29">
        <f t="shared" si="18"/>
        <v>25.512518637405964</v>
      </c>
      <c r="AQ29">
        <f t="shared" si="18"/>
        <v>26.286407976524675</v>
      </c>
      <c r="AR29">
        <f t="shared" si="18"/>
        <v>27.060367456698479</v>
      </c>
      <c r="AS29">
        <f t="shared" si="18"/>
        <v>27.834399147857706</v>
      </c>
      <c r="AT29">
        <f t="shared" si="18"/>
        <v>28.608505120538627</v>
      </c>
      <c r="AU29">
        <f t="shared" si="18"/>
        <v>29.382687445900807</v>
      </c>
      <c r="AV29">
        <f t="shared" si="18"/>
        <v>30.156948195744622</v>
      </c>
      <c r="AW29">
        <f t="shared" si="18"/>
        <v>30.931289442528666</v>
      </c>
      <c r="AX29">
        <f t="shared" si="18"/>
        <v>31.70571325938721</v>
      </c>
      <c r="AY29">
        <f t="shared" si="18"/>
        <v>32.480221720147732</v>
      </c>
      <c r="AZ29">
        <f t="shared" si="18"/>
        <v>33.254816899348313</v>
      </c>
      <c r="BA29">
        <f t="shared" si="18"/>
        <v>34.029500872255227</v>
      </c>
      <c r="BB29">
        <f t="shared" si="18"/>
        <v>34.804275714880383</v>
      </c>
      <c r="BC29">
        <f t="shared" si="18"/>
        <v>35.579143503998907</v>
      </c>
      <c r="BD29">
        <f t="shared" si="18"/>
        <v>36.354106317166611</v>
      </c>
      <c r="BE29">
        <f t="shared" si="18"/>
        <v>37.129166232737589</v>
      </c>
      <c r="BF29">
        <f t="shared" si="18"/>
        <v>37.904325329881779</v>
      </c>
      <c r="BG29">
        <f t="shared" si="18"/>
        <v>38.679585688602472</v>
      </c>
      <c r="BH29">
        <f t="shared" si="18"/>
        <v>39.454949389754013</v>
      </c>
      <c r="BI29">
        <f t="shared" si="18"/>
        <v>40.230418515059299</v>
      </c>
      <c r="BJ29">
        <f t="shared" si="18"/>
        <v>41.005995147127479</v>
      </c>
      <c r="BK29">
        <f t="shared" si="18"/>
        <v>41.781681369471436</v>
      </c>
      <c r="BL29">
        <f t="shared" si="18"/>
        <v>42.557479266525661</v>
      </c>
      <c r="BM29">
        <f t="shared" si="18"/>
        <v>43.333390923663742</v>
      </c>
      <c r="BN29">
        <f t="shared" si="18"/>
        <v>44.109418427216085</v>
      </c>
      <c r="BO29">
        <f t="shared" si="18"/>
        <v>44.885563864487587</v>
      </c>
      <c r="BP29">
        <f t="shared" si="18"/>
        <v>45.661829323775429</v>
      </c>
      <c r="BQ29">
        <f t="shared" si="18"/>
        <v>46.438216894386692</v>
      </c>
      <c r="BR29">
        <f t="shared" si="18"/>
        <v>47.214728666656136</v>
      </c>
      <c r="BS29">
        <f t="shared" si="18"/>
        <v>47.99136673196405</v>
      </c>
      <c r="BT29">
        <f t="shared" si="18"/>
        <v>48.768133182753807</v>
      </c>
      <c r="BU29">
        <f t="shared" si="18"/>
        <v>49.545030112549945</v>
      </c>
      <c r="BV29">
        <f t="shared" si="18"/>
        <v>50.322059615975718</v>
      </c>
      <c r="BW29">
        <f t="shared" si="15"/>
        <v>51.09922378877107</v>
      </c>
      <c r="BX29">
        <f t="shared" si="15"/>
        <v>51.876524727810477</v>
      </c>
      <c r="BY29">
        <f t="shared" si="15"/>
        <v>52.653964531120735</v>
      </c>
      <c r="BZ29">
        <f t="shared" si="15"/>
        <v>53.431545297898928</v>
      </c>
      <c r="CA29">
        <f t="shared" si="15"/>
        <v>54.209269128530252</v>
      </c>
      <c r="CB29">
        <f t="shared" si="15"/>
        <v>54.987138124606062</v>
      </c>
      <c r="CC29">
        <f t="shared" si="15"/>
        <v>55.765154388941667</v>
      </c>
      <c r="CD29">
        <f t="shared" si="15"/>
        <v>56.543320025594397</v>
      </c>
      <c r="CE29">
        <f t="shared" si="15"/>
        <v>57.321637139881567</v>
      </c>
      <c r="CF29">
        <f t="shared" si="15"/>
        <v>58.100107838398394</v>
      </c>
      <c r="CG29">
        <f t="shared" si="15"/>
        <v>58.878734229036247</v>
      </c>
      <c r="CH29">
        <f t="shared" si="15"/>
        <v>59.657518421000425</v>
      </c>
      <c r="CI29">
        <f t="shared" si="15"/>
        <v>60.436462524828379</v>
      </c>
      <c r="CJ29">
        <f t="shared" si="15"/>
        <v>61.215568652407846</v>
      </c>
      <c r="CK29">
        <f t="shared" si="15"/>
        <v>61.994838916994759</v>
      </c>
      <c r="CL29">
        <f t="shared" si="15"/>
        <v>62.774275433231686</v>
      </c>
      <c r="CM29">
        <f t="shared" si="15"/>
        <v>63.553880317165643</v>
      </c>
      <c r="CN29">
        <f t="shared" si="15"/>
        <v>64.333655686266681</v>
      </c>
      <c r="CO29">
        <f t="shared" si="15"/>
        <v>65.113603659445602</v>
      </c>
      <c r="CP29">
        <f t="shared" si="15"/>
        <v>65.893726357072694</v>
      </c>
      <c r="CQ29">
        <f t="shared" si="15"/>
        <v>66.674025900995574</v>
      </c>
      <c r="CR29">
        <f t="shared" si="15"/>
        <v>67.454504414557746</v>
      </c>
      <c r="CS29">
        <f t="shared" si="15"/>
        <v>68.2351640226168</v>
      </c>
      <c r="CT29">
        <f t="shared" si="15"/>
        <v>69.016006851562665</v>
      </c>
      <c r="CU29">
        <f t="shared" si="15"/>
        <v>69.797035029336115</v>
      </c>
      <c r="CV29">
        <f t="shared" si="15"/>
        <v>70.578250685447045</v>
      </c>
      <c r="CW29">
        <f t="shared" si="15"/>
        <v>71.359655950992931</v>
      </c>
      <c r="CX29">
        <f t="shared" si="15"/>
        <v>72.141252958677214</v>
      </c>
      <c r="CY29">
        <f t="shared" si="15"/>
        <v>72.923043842827767</v>
      </c>
      <c r="CZ29">
        <f t="shared" si="15"/>
        <v>73.705030739415506</v>
      </c>
      <c r="DA29">
        <f t="shared" si="15"/>
        <v>74.487215786072582</v>
      </c>
      <c r="DB29">
        <f t="shared" si="15"/>
        <v>75.269601122111425</v>
      </c>
      <c r="DC29">
        <f t="shared" si="15"/>
        <v>76.052188888542887</v>
      </c>
      <c r="DD29">
        <f t="shared" si="15"/>
        <v>76.834981228094847</v>
      </c>
      <c r="DE29">
        <f t="shared" si="15"/>
        <v>77.617980285231184</v>
      </c>
      <c r="DF29">
        <f t="shared" ref="DF29:FQ32" si="19">($E29*TAN(RADIANS(DF$22)))*$E29*$G29*1000*9.81*(((0.66*($E29/(COS(RADIANS(DF$22)))))+(0.66*$E29))/2)</f>
        <v>78.401188206170175</v>
      </c>
      <c r="DG29">
        <f t="shared" si="19"/>
        <v>79.184607138903147</v>
      </c>
      <c r="DH29">
        <f t="shared" si="19"/>
        <v>79.968239233213311</v>
      </c>
      <c r="DI29">
        <f t="shared" si="19"/>
        <v>80.7520866406945</v>
      </c>
      <c r="DJ29">
        <f t="shared" si="19"/>
        <v>81.536151514769841</v>
      </c>
      <c r="DK29">
        <f t="shared" si="19"/>
        <v>82.320436010710679</v>
      </c>
      <c r="DL29">
        <f t="shared" si="19"/>
        <v>83.104942285655341</v>
      </c>
      <c r="DM29">
        <f t="shared" si="19"/>
        <v>83.889672498628059</v>
      </c>
      <c r="DN29">
        <f t="shared" si="19"/>
        <v>84.674628810557763</v>
      </c>
      <c r="DO29">
        <f t="shared" si="19"/>
        <v>85.459813384297078</v>
      </c>
      <c r="DP29">
        <f t="shared" si="19"/>
        <v>86.245228384641422</v>
      </c>
      <c r="DQ29">
        <f t="shared" si="19"/>
        <v>87.030875978347723</v>
      </c>
      <c r="DR29">
        <f t="shared" si="19"/>
        <v>87.816758334153675</v>
      </c>
      <c r="DS29">
        <f t="shared" si="19"/>
        <v>88.602877622796612</v>
      </c>
      <c r="DT29">
        <f t="shared" si="19"/>
        <v>89.389236017032928</v>
      </c>
      <c r="DU29">
        <f t="shared" si="19"/>
        <v>90.175835691656687</v>
      </c>
      <c r="DV29">
        <f t="shared" si="19"/>
        <v>90.962678823519298</v>
      </c>
      <c r="DW29">
        <f t="shared" si="19"/>
        <v>91.749767591548448</v>
      </c>
      <c r="DX29">
        <f t="shared" si="19"/>
        <v>92.537104176767357</v>
      </c>
      <c r="DY29">
        <f t="shared" si="19"/>
        <v>93.324690762314077</v>
      </c>
      <c r="DZ29">
        <f t="shared" si="19"/>
        <v>94.112529533460744</v>
      </c>
      <c r="EA29">
        <f t="shared" si="19"/>
        <v>94.900622677633109</v>
      </c>
      <c r="EB29">
        <f t="shared" si="19"/>
        <v>95.688972384429604</v>
      </c>
      <c r="EC29">
        <f t="shared" si="19"/>
        <v>96.477580845640958</v>
      </c>
      <c r="ED29">
        <f t="shared" si="19"/>
        <v>97.266450255269646</v>
      </c>
      <c r="EE29">
        <f t="shared" si="19"/>
        <v>98.055582809549279</v>
      </c>
      <c r="EF29">
        <f t="shared" si="19"/>
        <v>98.844980706964208</v>
      </c>
      <c r="EG29">
        <f t="shared" si="19"/>
        <v>99.634646148268857</v>
      </c>
      <c r="EH29">
        <f t="shared" si="19"/>
        <v>100.42458133650808</v>
      </c>
      <c r="EI29">
        <f t="shared" si="19"/>
        <v>101.2147884770356</v>
      </c>
      <c r="EJ29">
        <f t="shared" si="19"/>
        <v>102.00526977753462</v>
      </c>
      <c r="EK29">
        <f t="shared" si="19"/>
        <v>102.79602744803718</v>
      </c>
      <c r="EL29">
        <f t="shared" si="19"/>
        <v>103.587063700944</v>
      </c>
      <c r="EM29">
        <f t="shared" si="19"/>
        <v>104.37838075104422</v>
      </c>
      <c r="EN29">
        <f t="shared" si="19"/>
        <v>105.1699808155353</v>
      </c>
      <c r="EO29">
        <f t="shared" si="19"/>
        <v>105.96186611404279</v>
      </c>
      <c r="EP29">
        <f t="shared" si="19"/>
        <v>106.75403886864034</v>
      </c>
      <c r="EQ29">
        <f t="shared" si="19"/>
        <v>107.54650130386972</v>
      </c>
      <c r="ER29">
        <f t="shared" si="19"/>
        <v>108.33925564676066</v>
      </c>
      <c r="ES29">
        <f t="shared" si="19"/>
        <v>109.1323041268509</v>
      </c>
      <c r="ET29">
        <f t="shared" si="19"/>
        <v>109.92564897620649</v>
      </c>
      <c r="EU29">
        <f t="shared" si="19"/>
        <v>110.71929242944171</v>
      </c>
      <c r="EV29">
        <f t="shared" si="19"/>
        <v>111.51323672373921</v>
      </c>
      <c r="EW29">
        <f t="shared" si="19"/>
        <v>112.30748409887048</v>
      </c>
      <c r="EX29">
        <f t="shared" si="19"/>
        <v>113.10203679721585</v>
      </c>
      <c r="EY29">
        <f t="shared" si="19"/>
        <v>113.89689706378478</v>
      </c>
      <c r="EZ29">
        <f t="shared" si="19"/>
        <v>114.69206714623665</v>
      </c>
      <c r="FA29">
        <f t="shared" si="19"/>
        <v>115.48754929490039</v>
      </c>
      <c r="FB29">
        <f t="shared" si="19"/>
        <v>116.28334576279572</v>
      </c>
      <c r="FC29">
        <f t="shared" si="19"/>
        <v>117.07945880565302</v>
      </c>
      <c r="FD29">
        <f t="shared" si="19"/>
        <v>117.87589068193421</v>
      </c>
      <c r="FE29">
        <f t="shared" si="19"/>
        <v>118.6726436528531</v>
      </c>
      <c r="FF29">
        <f t="shared" si="19"/>
        <v>119.46971998239631</v>
      </c>
      <c r="FG29">
        <f t="shared" si="19"/>
        <v>120.26712193734366</v>
      </c>
      <c r="FH29">
        <f t="shared" si="19"/>
        <v>121.06485178728896</v>
      </c>
      <c r="FI29">
        <f t="shared" si="19"/>
        <v>121.86291180466084</v>
      </c>
      <c r="FJ29">
        <f t="shared" si="19"/>
        <v>122.66130426474352</v>
      </c>
      <c r="FK29">
        <f t="shared" si="19"/>
        <v>123.46003144569767</v>
      </c>
      <c r="FL29">
        <f t="shared" si="19"/>
        <v>124.25909562858136</v>
      </c>
      <c r="FM29">
        <f t="shared" si="19"/>
        <v>125.05849909737105</v>
      </c>
      <c r="FN29">
        <f t="shared" si="19"/>
        <v>125.85824413898239</v>
      </c>
      <c r="FO29">
        <f t="shared" si="19"/>
        <v>126.65833304329162</v>
      </c>
      <c r="FP29">
        <f t="shared" si="19"/>
        <v>127.45876810315629</v>
      </c>
      <c r="FQ29">
        <f t="shared" si="19"/>
        <v>128.2595516144369</v>
      </c>
      <c r="FR29">
        <f>($E29*TAN(RADIANS(FR$22)))*$E29*$G29*1000*9.81*(((0.66*($E29/(COS(RADIANS(FR$22)))))+(0.66*$E29))/2)</f>
        <v>129.06068587601766</v>
      </c>
      <c r="FS29">
        <f t="shared" si="13"/>
        <v>129.86217318982804</v>
      </c>
      <c r="FT29">
        <f t="shared" si="13"/>
        <v>130.66401586086394</v>
      </c>
      <c r="FU29">
        <f t="shared" si="13"/>
        <v>131.46621619720915</v>
      </c>
      <c r="FV29">
        <f t="shared" si="13"/>
        <v>132.26877651005677</v>
      </c>
      <c r="FW29">
        <f t="shared" si="13"/>
        <v>133.0716991137306</v>
      </c>
      <c r="FX29">
        <f t="shared" si="13"/>
        <v>133.87498632570689</v>
      </c>
      <c r="FY29">
        <f t="shared" si="13"/>
        <v>134.67864046663558</v>
      </c>
      <c r="FZ29">
        <f t="shared" si="13"/>
        <v>135.48266386036227</v>
      </c>
      <c r="GA29">
        <f t="shared" si="13"/>
        <v>136.28705883394971</v>
      </c>
      <c r="GB29">
        <f t="shared" si="13"/>
        <v>137.09182771769972</v>
      </c>
      <c r="GC29">
        <f t="shared" si="13"/>
        <v>137.89697284517479</v>
      </c>
      <c r="GD29">
        <f t="shared" si="13"/>
        <v>138.70249655322016</v>
      </c>
      <c r="GE29">
        <f t="shared" si="13"/>
        <v>139.50840118198562</v>
      </c>
      <c r="GF29">
        <f t="shared" si="13"/>
        <v>140.31468907494744</v>
      </c>
      <c r="GG29">
        <f t="shared" si="13"/>
        <v>141.12136257893047</v>
      </c>
      <c r="GH29">
        <f t="shared" si="13"/>
        <v>141.9284240441304</v>
      </c>
      <c r="GI29">
        <f t="shared" si="13"/>
        <v>142.73587582413555</v>
      </c>
      <c r="GJ29">
        <f t="shared" si="13"/>
        <v>143.54372027594945</v>
      </c>
      <c r="GK29">
        <f t="shared" si="13"/>
        <v>144.35195976001256</v>
      </c>
      <c r="GL29">
        <f t="shared" si="13"/>
        <v>145.16059664022583</v>
      </c>
      <c r="GM29">
        <f t="shared" si="13"/>
        <v>145.96963328397123</v>
      </c>
      <c r="GN29">
        <f t="shared" si="13"/>
        <v>146.77907206213598</v>
      </c>
      <c r="GO29">
        <f t="shared" si="13"/>
        <v>147.58891534913371</v>
      </c>
      <c r="GP29">
        <f t="shared" si="13"/>
        <v>148.39916552292803</v>
      </c>
      <c r="GQ29">
        <f t="shared" si="13"/>
        <v>149.20982496505457</v>
      </c>
      <c r="GR29">
        <f t="shared" si="13"/>
        <v>150.02089606064385</v>
      </c>
      <c r="GS29">
        <f t="shared" si="13"/>
        <v>150.8323811984441</v>
      </c>
      <c r="GT29">
        <f t="shared" si="13"/>
        <v>151.64428277084406</v>
      </c>
      <c r="GU29">
        <f t="shared" si="13"/>
        <v>152.45660317389559</v>
      </c>
      <c r="GV29">
        <f t="shared" si="13"/>
        <v>153.26934480733715</v>
      </c>
      <c r="GW29">
        <f t="shared" si="13"/>
        <v>154.08251007461641</v>
      </c>
      <c r="GX29">
        <f t="shared" si="13"/>
        <v>154.89610138291349</v>
      </c>
      <c r="GY29">
        <f t="shared" si="13"/>
        <v>155.71012114316383</v>
      </c>
      <c r="GZ29">
        <f t="shared" si="13"/>
        <v>156.52457177008202</v>
      </c>
      <c r="HA29">
        <f t="shared" si="13"/>
        <v>157.33945568218419</v>
      </c>
      <c r="HB29">
        <f t="shared" si="13"/>
        <v>158.15477530181269</v>
      </c>
      <c r="HC29">
        <f t="shared" si="13"/>
        <v>158.97053305515729</v>
      </c>
      <c r="HD29">
        <f t="shared" si="13"/>
        <v>159.78673137228117</v>
      </c>
      <c r="HE29">
        <f t="shared" si="13"/>
        <v>160.60337268714287</v>
      </c>
      <c r="HF29">
        <f t="shared" si="13"/>
        <v>161.42045943762051</v>
      </c>
      <c r="HG29">
        <f t="shared" si="13"/>
        <v>162.23799406553522</v>
      </c>
      <c r="HH29">
        <f t="shared" si="13"/>
        <v>163.05597901667494</v>
      </c>
      <c r="HI29">
        <f t="shared" si="13"/>
        <v>163.87441674081833</v>
      </c>
      <c r="HJ29">
        <f t="shared" si="13"/>
        <v>164.69330969175857</v>
      </c>
      <c r="HK29">
        <f t="shared" si="13"/>
        <v>165.5126603273275</v>
      </c>
      <c r="HL29">
        <f t="shared" si="13"/>
        <v>166.33247110941937</v>
      </c>
      <c r="HM29">
        <f t="shared" si="13"/>
        <v>167.15274450401512</v>
      </c>
      <c r="HN29">
        <f t="shared" si="13"/>
        <v>167.9734829812067</v>
      </c>
      <c r="HO29">
        <f t="shared" si="13"/>
        <v>168.79468901522094</v>
      </c>
      <c r="HP29">
        <f t="shared" si="13"/>
        <v>169.61636508444414</v>
      </c>
      <c r="HQ29">
        <f t="shared" si="13"/>
        <v>170.43851367144646</v>
      </c>
      <c r="HR29">
        <f t="shared" si="13"/>
        <v>171.26113726300639</v>
      </c>
      <c r="HS29">
        <f t="shared" si="13"/>
        <v>172.08423835013519</v>
      </c>
      <c r="HT29">
        <f t="shared" si="13"/>
        <v>172.90781942810153</v>
      </c>
      <c r="HU29">
        <f t="shared" si="13"/>
        <v>173.73188299645636</v>
      </c>
      <c r="HV29">
        <f t="shared" si="13"/>
        <v>174.55643155905742</v>
      </c>
      <c r="HW29">
        <f t="shared" si="13"/>
        <v>175.38146762409423</v>
      </c>
      <c r="HX29">
        <f t="shared" si="13"/>
        <v>176.20699370411316</v>
      </c>
      <c r="HY29">
        <f t="shared" si="13"/>
        <v>177.03301231604215</v>
      </c>
      <c r="HZ29">
        <f t="shared" si="13"/>
        <v>177.85952598121591</v>
      </c>
      <c r="IA29">
        <f t="shared" si="13"/>
        <v>178.68653722540128</v>
      </c>
      <c r="IB29">
        <f t="shared" si="13"/>
        <v>179.51404857882193</v>
      </c>
      <c r="IC29">
        <f t="shared" si="14"/>
        <v>180.34206257618445</v>
      </c>
      <c r="ID29">
        <f t="shared" si="14"/>
        <v>181.17058175670306</v>
      </c>
      <c r="IE29">
        <f t="shared" si="14"/>
        <v>181.99960866412539</v>
      </c>
      <c r="IF29">
        <f t="shared" si="14"/>
        <v>182.82914584675819</v>
      </c>
      <c r="IG29">
        <f t="shared" si="14"/>
        <v>183.65919585749248</v>
      </c>
      <c r="IH29">
        <f t="shared" si="14"/>
        <v>184.48976125383004</v>
      </c>
      <c r="II29">
        <f t="shared" si="14"/>
        <v>185.32084459790829</v>
      </c>
      <c r="IJ29">
        <f t="shared" si="14"/>
        <v>186.15244845652703</v>
      </c>
      <c r="IK29">
        <f t="shared" si="14"/>
        <v>186.98457540117386</v>
      </c>
      <c r="IL29">
        <f t="shared" si="14"/>
        <v>187.81722800805039</v>
      </c>
      <c r="IM29">
        <f t="shared" si="14"/>
        <v>188.6504088580987</v>
      </c>
      <c r="IN29">
        <f t="shared" si="14"/>
        <v>189.48412053702685</v>
      </c>
      <c r="IO29">
        <f t="shared" si="14"/>
        <v>190.31836563533602</v>
      </c>
      <c r="IP29">
        <f t="shared" si="14"/>
        <v>191.15314674834644</v>
      </c>
      <c r="IQ29">
        <f t="shared" si="14"/>
        <v>191.98846647622364</v>
      </c>
      <c r="IR29">
        <f t="shared" si="14"/>
        <v>192.82432742400584</v>
      </c>
      <c r="IS29">
        <f t="shared" si="14"/>
        <v>193.6607322016298</v>
      </c>
      <c r="IT29">
        <f t="shared" si="14"/>
        <v>194.49768342395802</v>
      </c>
      <c r="IU29">
        <f t="shared" si="14"/>
        <v>195.33518371080538</v>
      </c>
      <c r="IV29">
        <f t="shared" si="14"/>
        <v>196.17323568696622</v>
      </c>
      <c r="IW29">
        <f t="shared" si="14"/>
        <v>197.01184198224132</v>
      </c>
      <c r="IX29">
        <f t="shared" si="14"/>
        <v>197.85100523146488</v>
      </c>
      <c r="IY29">
        <f t="shared" si="14"/>
        <v>198.69072807453188</v>
      </c>
      <c r="IZ29">
        <f t="shared" si="14"/>
        <v>199.5310131564253</v>
      </c>
      <c r="JA29">
        <f t="shared" si="14"/>
        <v>200.37186312724359</v>
      </c>
      <c r="JB29">
        <f t="shared" si="14"/>
        <v>201.21328064222811</v>
      </c>
      <c r="JC29">
        <f t="shared" si="14"/>
        <v>202.05526836179052</v>
      </c>
      <c r="JD29">
        <f t="shared" si="14"/>
        <v>202.89782895154087</v>
      </c>
      <c r="JE29">
        <f t="shared" si="14"/>
        <v>203.740965082315</v>
      </c>
      <c r="JF29">
        <f t="shared" si="14"/>
        <v>204.58467943020236</v>
      </c>
      <c r="JG29">
        <f t="shared" si="14"/>
        <v>205.42897467657446</v>
      </c>
      <c r="JH29">
        <f t="shared" si="14"/>
        <v>206.27385350811221</v>
      </c>
      <c r="JI29">
        <f t="shared" si="14"/>
        <v>207.11931861683482</v>
      </c>
      <c r="JJ29">
        <f t="shared" si="14"/>
        <v>207.96537270012743</v>
      </c>
      <c r="JK29">
        <f t="shared" si="14"/>
        <v>208.81201846076968</v>
      </c>
      <c r="JL29">
        <f t="shared" si="14"/>
        <v>209.6592586069645</v>
      </c>
      <c r="JM29">
        <f t="shared" si="14"/>
        <v>210.50709585236578</v>
      </c>
      <c r="JN29">
        <f t="shared" si="14"/>
        <v>211.35553291610805</v>
      </c>
      <c r="JO29">
        <f t="shared" si="14"/>
        <v>212.20457252283467</v>
      </c>
      <c r="JP29">
        <f t="shared" si="14"/>
        <v>213.05421740272644</v>
      </c>
      <c r="JQ29">
        <f t="shared" si="14"/>
        <v>213.90447029153117</v>
      </c>
      <c r="JR29">
        <f t="shared" si="14"/>
        <v>214.75533393059251</v>
      </c>
      <c r="JS29">
        <f t="shared" si="14"/>
        <v>215.60681106687869</v>
      </c>
      <c r="JT29">
        <f t="shared" si="14"/>
        <v>216.45890445301231</v>
      </c>
      <c r="JU29">
        <f t="shared" si="14"/>
        <v>217.31161684729935</v>
      </c>
      <c r="JV29">
        <f t="shared" si="14"/>
        <v>218.16495101375915</v>
      </c>
      <c r="JW29">
        <f t="shared" si="14"/>
        <v>219.01890972215327</v>
      </c>
      <c r="JX29">
        <f t="shared" si="14"/>
        <v>219.87349574801564</v>
      </c>
      <c r="JY29">
        <f t="shared" si="14"/>
        <v>220.72871187268234</v>
      </c>
      <c r="JZ29">
        <f t="shared" si="14"/>
        <v>221.58456088332133</v>
      </c>
      <c r="KA29">
        <f t="shared" si="14"/>
        <v>222.44104557296257</v>
      </c>
      <c r="KB29">
        <f t="shared" si="14"/>
        <v>223.2981687405279</v>
      </c>
      <c r="KC29">
        <f t="shared" si="14"/>
        <v>224.15593319086182</v>
      </c>
    </row>
    <row r="30" spans="3:630" x14ac:dyDescent="0.25">
      <c r="C30">
        <f>C29+0.8</f>
        <v>2.3375000000000004</v>
      </c>
      <c r="D30">
        <v>1.06</v>
      </c>
      <c r="E30">
        <f t="shared" si="7"/>
        <v>0.53</v>
      </c>
      <c r="F30">
        <f t="shared" si="8"/>
        <v>0.34980000000000006</v>
      </c>
      <c r="G30">
        <v>0.8</v>
      </c>
      <c r="J30">
        <f t="shared" si="0"/>
        <v>0.67294272673989108</v>
      </c>
      <c r="K30">
        <f t="shared" si="18"/>
        <v>1.3458872471459162</v>
      </c>
      <c r="L30">
        <f t="shared" si="18"/>
        <v>2.018835354899235</v>
      </c>
      <c r="M30">
        <f t="shared" si="18"/>
        <v>2.6917888437110582</v>
      </c>
      <c r="N30">
        <f t="shared" si="18"/>
        <v>3.3647495073376756</v>
      </c>
      <c r="O30">
        <f t="shared" si="18"/>
        <v>4.0377191395954792</v>
      </c>
      <c r="P30">
        <f t="shared" si="18"/>
        <v>4.7106995343759941</v>
      </c>
      <c r="Q30">
        <f t="shared" si="18"/>
        <v>5.3836924856609096</v>
      </c>
      <c r="R30">
        <f t="shared" si="18"/>
        <v>6.0566997875371058</v>
      </c>
      <c r="S30">
        <f t="shared" si="18"/>
        <v>6.7297232342116899</v>
      </c>
      <c r="T30">
        <f t="shared" si="18"/>
        <v>7.4027646200270283</v>
      </c>
      <c r="U30">
        <f t="shared" si="18"/>
        <v>8.0758257394757749</v>
      </c>
      <c r="V30">
        <f t="shared" si="18"/>
        <v>8.7489083872159359</v>
      </c>
      <c r="W30">
        <f t="shared" si="18"/>
        <v>9.4220143580858782</v>
      </c>
      <c r="X30">
        <f t="shared" si="18"/>
        <v>10.0951454471194</v>
      </c>
      <c r="Y30">
        <f t="shared" si="18"/>
        <v>10.768303449560772</v>
      </c>
      <c r="Z30">
        <f t="shared" si="18"/>
        <v>11.441490160879768</v>
      </c>
      <c r="AA30">
        <f t="shared" si="18"/>
        <v>12.114707376786763</v>
      </c>
      <c r="AB30">
        <f t="shared" si="18"/>
        <v>12.787956893247747</v>
      </c>
      <c r="AC30">
        <f t="shared" si="18"/>
        <v>13.461240506499431</v>
      </c>
      <c r="AD30">
        <f t="shared" si="18"/>
        <v>14.134560013064267</v>
      </c>
      <c r="AE30">
        <f t="shared" si="18"/>
        <v>14.80791720976555</v>
      </c>
      <c r="AF30">
        <f t="shared" si="18"/>
        <v>15.481313893742518</v>
      </c>
      <c r="AG30">
        <f t="shared" si="18"/>
        <v>16.154751862465371</v>
      </c>
      <c r="AH30">
        <f t="shared" si="18"/>
        <v>16.82823291375043</v>
      </c>
      <c r="AI30">
        <f t="shared" si="18"/>
        <v>17.501758845775161</v>
      </c>
      <c r="AJ30">
        <f t="shared" si="18"/>
        <v>18.175331457093336</v>
      </c>
      <c r="AK30">
        <f t="shared" si="18"/>
        <v>18.848952546650096</v>
      </c>
      <c r="AL30">
        <f t="shared" si="18"/>
        <v>19.522623913797101</v>
      </c>
      <c r="AM30">
        <f t="shared" si="18"/>
        <v>20.196347358307598</v>
      </c>
      <c r="AN30">
        <f t="shared" si="18"/>
        <v>20.870124680391598</v>
      </c>
      <c r="AO30">
        <f t="shared" si="18"/>
        <v>21.543957680710985</v>
      </c>
      <c r="AP30">
        <f t="shared" si="18"/>
        <v>22.217848160394652</v>
      </c>
      <c r="AQ30">
        <f t="shared" si="18"/>
        <v>22.891797921053644</v>
      </c>
      <c r="AR30">
        <f t="shared" si="18"/>
        <v>23.565808764796344</v>
      </c>
      <c r="AS30">
        <f t="shared" si="18"/>
        <v>24.239882494243616</v>
      </c>
      <c r="AT30">
        <f t="shared" si="18"/>
        <v>24.914020912543979</v>
      </c>
      <c r="AU30">
        <f t="shared" si="18"/>
        <v>25.588225823388754</v>
      </c>
      <c r="AV30">
        <f t="shared" si="18"/>
        <v>26.262499031027357</v>
      </c>
      <c r="AW30">
        <f t="shared" si="18"/>
        <v>26.936842340282368</v>
      </c>
      <c r="AX30">
        <f t="shared" si="18"/>
        <v>27.611257556564826</v>
      </c>
      <c r="AY30">
        <f t="shared" si="18"/>
        <v>28.285746485889451</v>
      </c>
      <c r="AZ30">
        <f t="shared" si="18"/>
        <v>28.960310934889762</v>
      </c>
      <c r="BA30">
        <f t="shared" si="18"/>
        <v>29.634952710833495</v>
      </c>
      <c r="BB30">
        <f t="shared" si="18"/>
        <v>30.309673621637689</v>
      </c>
      <c r="BC30">
        <f t="shared" si="18"/>
        <v>30.984475475884036</v>
      </c>
      <c r="BD30">
        <f t="shared" si="18"/>
        <v>31.659360082834112</v>
      </c>
      <c r="BE30">
        <f t="shared" si="18"/>
        <v>32.334329252444689</v>
      </c>
      <c r="BF30">
        <f t="shared" si="18"/>
        <v>33.009384795383014</v>
      </c>
      <c r="BG30">
        <f t="shared" si="18"/>
        <v>33.684528523042076</v>
      </c>
      <c r="BH30">
        <f t="shared" si="18"/>
        <v>34.359762247556006</v>
      </c>
      <c r="BI30">
        <f t="shared" si="18"/>
        <v>35.035087781815321</v>
      </c>
      <c r="BJ30">
        <f t="shared" si="18"/>
        <v>35.710506939482329</v>
      </c>
      <c r="BK30">
        <f t="shared" si="18"/>
        <v>36.386021535006435</v>
      </c>
      <c r="BL30">
        <f t="shared" si="18"/>
        <v>37.061633383639531</v>
      </c>
      <c r="BM30">
        <f t="shared" si="18"/>
        <v>37.737344301451408</v>
      </c>
      <c r="BN30">
        <f t="shared" si="18"/>
        <v>38.413156105345074</v>
      </c>
      <c r="BO30">
        <f t="shared" si="18"/>
        <v>39.089070613072202</v>
      </c>
      <c r="BP30">
        <f t="shared" si="18"/>
        <v>39.765089643248579</v>
      </c>
      <c r="BQ30">
        <f t="shared" si="18"/>
        <v>40.441215015369529</v>
      </c>
      <c r="BR30">
        <f t="shared" si="18"/>
        <v>41.117448549825298</v>
      </c>
      <c r="BS30">
        <f t="shared" si="18"/>
        <v>41.793792067916627</v>
      </c>
      <c r="BT30">
        <f t="shared" si="18"/>
        <v>42.470247391870103</v>
      </c>
      <c r="BU30">
        <f t="shared" si="18"/>
        <v>43.146816344853811</v>
      </c>
      <c r="BV30">
        <f t="shared" si="18"/>
        <v>43.823500750992714</v>
      </c>
      <c r="BW30">
        <f t="shared" si="15"/>
        <v>44.500302435384221</v>
      </c>
      <c r="BX30">
        <f t="shared" si="15"/>
        <v>45.177223224113753</v>
      </c>
      <c r="BY30">
        <f t="shared" si="15"/>
        <v>45.854264944270263</v>
      </c>
      <c r="BZ30">
        <f t="shared" si="15"/>
        <v>46.53142942396186</v>
      </c>
      <c r="CA30">
        <f t="shared" si="15"/>
        <v>47.208718492331336</v>
      </c>
      <c r="CB30">
        <f t="shared" si="15"/>
        <v>47.886133979571831</v>
      </c>
      <c r="CC30">
        <f t="shared" si="15"/>
        <v>48.563677716942472</v>
      </c>
      <c r="CD30">
        <f t="shared" si="15"/>
        <v>49.241351536783924</v>
      </c>
      <c r="CE30">
        <f t="shared" si="15"/>
        <v>49.919157272534157</v>
      </c>
      <c r="CF30">
        <f t="shared" si="15"/>
        <v>50.597096758744058</v>
      </c>
      <c r="CG30">
        <f t="shared" si="15"/>
        <v>51.275171831093189</v>
      </c>
      <c r="CH30">
        <f t="shared" si="15"/>
        <v>51.953384326405455</v>
      </c>
      <c r="CI30">
        <f t="shared" si="15"/>
        <v>52.63173608266483</v>
      </c>
      <c r="CJ30">
        <f t="shared" si="15"/>
        <v>53.310228939031177</v>
      </c>
      <c r="CK30">
        <f t="shared" si="15"/>
        <v>53.988864735855984</v>
      </c>
      <c r="CL30">
        <f t="shared" si="15"/>
        <v>54.667645314698085</v>
      </c>
      <c r="CM30">
        <f t="shared" si="15"/>
        <v>55.346572518339649</v>
      </c>
      <c r="CN30">
        <f t="shared" si="15"/>
        <v>56.025648190801896</v>
      </c>
      <c r="CO30">
        <f t="shared" si="15"/>
        <v>56.704874177360885</v>
      </c>
      <c r="CP30">
        <f t="shared" si="15"/>
        <v>57.384252324563619</v>
      </c>
      <c r="CQ30">
        <f t="shared" si="15"/>
        <v>58.063784480243662</v>
      </c>
      <c r="CR30">
        <f t="shared" si="15"/>
        <v>58.74347249353729</v>
      </c>
      <c r="CS30">
        <f t="shared" si="15"/>
        <v>59.423318214899311</v>
      </c>
      <c r="CT30">
        <f t="shared" si="15"/>
        <v>60.10332349611901</v>
      </c>
      <c r="CU30">
        <f t="shared" si="15"/>
        <v>60.783490190336252</v>
      </c>
      <c r="CV30">
        <f t="shared" si="15"/>
        <v>61.463820152057401</v>
      </c>
      <c r="CW30">
        <f t="shared" si="15"/>
        <v>62.144315237171277</v>
      </c>
      <c r="CX30">
        <f t="shared" si="15"/>
        <v>62.824977302965394</v>
      </c>
      <c r="CY30">
        <f t="shared" si="15"/>
        <v>63.505808208141929</v>
      </c>
      <c r="CZ30">
        <f t="shared" si="15"/>
        <v>64.186809812833758</v>
      </c>
      <c r="DA30">
        <f t="shared" si="15"/>
        <v>64.867983978620714</v>
      </c>
      <c r="DB30">
        <f t="shared" si="15"/>
        <v>65.549332568545665</v>
      </c>
      <c r="DC30">
        <f t="shared" si="15"/>
        <v>66.230857447130674</v>
      </c>
      <c r="DD30">
        <f t="shared" si="15"/>
        <v>66.912560480393168</v>
      </c>
      <c r="DE30">
        <f t="shared" si="15"/>
        <v>67.594443535862325</v>
      </c>
      <c r="DF30">
        <f t="shared" si="19"/>
        <v>68.276508482595062</v>
      </c>
      <c r="DG30">
        <f t="shared" si="19"/>
        <v>68.958757191192547</v>
      </c>
      <c r="DH30">
        <f t="shared" si="19"/>
        <v>69.64119153381634</v>
      </c>
      <c r="DI30">
        <f t="shared" si="19"/>
        <v>70.323813384204797</v>
      </c>
      <c r="DJ30">
        <f t="shared" si="19"/>
        <v>71.006624617689369</v>
      </c>
      <c r="DK30">
        <f t="shared" si="19"/>
        <v>71.689627111210982</v>
      </c>
      <c r="DL30">
        <f t="shared" si="19"/>
        <v>72.372822743336513</v>
      </c>
      <c r="DM30">
        <f t="shared" si="19"/>
        <v>73.05621339427519</v>
      </c>
      <c r="DN30">
        <f t="shared" si="19"/>
        <v>73.739800945894942</v>
      </c>
      <c r="DO30">
        <f t="shared" si="19"/>
        <v>74.423587281738975</v>
      </c>
      <c r="DP30">
        <f t="shared" si="19"/>
        <v>75.107574287042397</v>
      </c>
      <c r="DQ30">
        <f t="shared" si="19"/>
        <v>75.791763848748502</v>
      </c>
      <c r="DR30">
        <f t="shared" si="19"/>
        <v>76.476157855525628</v>
      </c>
      <c r="DS30">
        <f t="shared" si="19"/>
        <v>77.160758197783437</v>
      </c>
      <c r="DT30">
        <f t="shared" si="19"/>
        <v>77.84556676768986</v>
      </c>
      <c r="DU30">
        <f t="shared" si="19"/>
        <v>78.530585459187563</v>
      </c>
      <c r="DV30">
        <f t="shared" si="19"/>
        <v>79.21581616801069</v>
      </c>
      <c r="DW30">
        <f t="shared" si="19"/>
        <v>79.901260791701603</v>
      </c>
      <c r="DX30">
        <f t="shared" si="19"/>
        <v>80.586921229627535</v>
      </c>
      <c r="DY30">
        <f t="shared" si="19"/>
        <v>81.272799382997491</v>
      </c>
      <c r="DZ30">
        <f t="shared" si="19"/>
        <v>81.958897154878983</v>
      </c>
      <c r="EA30">
        <f t="shared" si="19"/>
        <v>82.645216450214903</v>
      </c>
      <c r="EB30">
        <f t="shared" si="19"/>
        <v>83.331759175840432</v>
      </c>
      <c r="EC30">
        <f t="shared" si="19"/>
        <v>84.018527240499751</v>
      </c>
      <c r="ED30">
        <f t="shared" si="19"/>
        <v>84.705522554863293</v>
      </c>
      <c r="EE30">
        <f t="shared" si="19"/>
        <v>85.392747031544431</v>
      </c>
      <c r="EF30">
        <f t="shared" si="19"/>
        <v>86.080202585116652</v>
      </c>
      <c r="EG30">
        <f t="shared" si="19"/>
        <v>86.767891132130373</v>
      </c>
      <c r="EH30">
        <f t="shared" si="19"/>
        <v>87.455814591130547</v>
      </c>
      <c r="EI30">
        <f t="shared" si="19"/>
        <v>88.143974882673021</v>
      </c>
      <c r="EJ30">
        <f t="shared" si="19"/>
        <v>88.832373929342168</v>
      </c>
      <c r="EK30">
        <f t="shared" si="19"/>
        <v>89.521013655767845</v>
      </c>
      <c r="EL30">
        <f t="shared" si="19"/>
        <v>90.209895988642771</v>
      </c>
      <c r="EM30">
        <f t="shared" si="19"/>
        <v>90.89902285673962</v>
      </c>
      <c r="EN30">
        <f t="shared" si="19"/>
        <v>91.58839619092835</v>
      </c>
      <c r="EO30">
        <f t="shared" si="19"/>
        <v>92.27801792419352</v>
      </c>
      <c r="EP30">
        <f t="shared" si="19"/>
        <v>92.967889991651631</v>
      </c>
      <c r="EQ30">
        <f t="shared" si="19"/>
        <v>93.658014330568449</v>
      </c>
      <c r="ER30">
        <f t="shared" si="19"/>
        <v>94.348392880376551</v>
      </c>
      <c r="ES30">
        <f t="shared" si="19"/>
        <v>95.039027582692569</v>
      </c>
      <c r="ET30">
        <f t="shared" si="19"/>
        <v>95.729920381334978</v>
      </c>
      <c r="EU30">
        <f t="shared" si="19"/>
        <v>96.421073222341363</v>
      </c>
      <c r="EV30">
        <f t="shared" si="19"/>
        <v>97.112488053986041</v>
      </c>
      <c r="EW30">
        <f t="shared" si="19"/>
        <v>97.804166826797811</v>
      </c>
      <c r="EX30">
        <f t="shared" si="19"/>
        <v>98.49611149357743</v>
      </c>
      <c r="EY30">
        <f t="shared" si="19"/>
        <v>99.188324009415311</v>
      </c>
      <c r="EZ30">
        <f t="shared" si="19"/>
        <v>99.880806331709451</v>
      </c>
      <c r="FA30">
        <f t="shared" si="19"/>
        <v>100.57356042018287</v>
      </c>
      <c r="FB30">
        <f t="shared" si="19"/>
        <v>101.26658823690157</v>
      </c>
      <c r="FC30">
        <f t="shared" si="19"/>
        <v>101.95989174629241</v>
      </c>
      <c r="FD30">
        <f t="shared" si="19"/>
        <v>102.65347291516099</v>
      </c>
      <c r="FE30">
        <f t="shared" si="19"/>
        <v>103.34733371270943</v>
      </c>
      <c r="FF30">
        <f t="shared" si="19"/>
        <v>104.0414761105545</v>
      </c>
      <c r="FG30">
        <f t="shared" si="19"/>
        <v>104.73590208274547</v>
      </c>
      <c r="FH30">
        <f t="shared" si="19"/>
        <v>105.43061360578238</v>
      </c>
      <c r="FI30">
        <f t="shared" si="19"/>
        <v>106.12561265863376</v>
      </c>
      <c r="FJ30">
        <f t="shared" si="19"/>
        <v>106.82090122275507</v>
      </c>
      <c r="FK30">
        <f t="shared" si="19"/>
        <v>107.51648128210684</v>
      </c>
      <c r="FL30">
        <f t="shared" si="19"/>
        <v>108.21235482317267</v>
      </c>
      <c r="FM30">
        <f t="shared" si="19"/>
        <v>108.90852383497779</v>
      </c>
      <c r="FN30">
        <f t="shared" si="19"/>
        <v>109.60499030910697</v>
      </c>
      <c r="FO30">
        <f t="shared" si="19"/>
        <v>110.30175623972328</v>
      </c>
      <c r="FP30">
        <f t="shared" si="19"/>
        <v>110.99882362358619</v>
      </c>
      <c r="FQ30">
        <f t="shared" si="19"/>
        <v>111.69619446007013</v>
      </c>
      <c r="FR30">
        <f>($E30*TAN(RADIANS(FR$22)))*$E30*$G30*1000*9.81*(((0.66*($E30/(COS(RADIANS(FR$22)))))+(0.66*$E30))/2)</f>
        <v>112.39387075118289</v>
      </c>
      <c r="FS30">
        <f t="shared" si="13"/>
        <v>113.09185450158429</v>
      </c>
      <c r="FT30">
        <f t="shared" si="13"/>
        <v>113.79014771860443</v>
      </c>
      <c r="FU30">
        <f t="shared" si="13"/>
        <v>114.4887524122627</v>
      </c>
      <c r="FV30">
        <f t="shared" si="13"/>
        <v>115.18767059528614</v>
      </c>
      <c r="FW30">
        <f t="shared" si="13"/>
        <v>115.88690428312825</v>
      </c>
      <c r="FX30">
        <f t="shared" si="13"/>
        <v>116.58645549398786</v>
      </c>
      <c r="FY30">
        <f t="shared" si="13"/>
        <v>117.28632624882766</v>
      </c>
      <c r="FZ30">
        <f t="shared" si="13"/>
        <v>117.98651857139329</v>
      </c>
      <c r="GA30">
        <f t="shared" si="13"/>
        <v>118.68703448823213</v>
      </c>
      <c r="GB30">
        <f t="shared" si="13"/>
        <v>119.38787602871227</v>
      </c>
      <c r="GC30">
        <f t="shared" si="13"/>
        <v>120.08904522504149</v>
      </c>
      <c r="GD30">
        <f t="shared" si="13"/>
        <v>120.7905441122862</v>
      </c>
      <c r="GE30">
        <f t="shared" si="13"/>
        <v>121.49237472839073</v>
      </c>
      <c r="GF30">
        <f t="shared" si="13"/>
        <v>122.19453911419642</v>
      </c>
      <c r="GG30">
        <f t="shared" si="13"/>
        <v>122.89703931346057</v>
      </c>
      <c r="GH30">
        <f t="shared" si="13"/>
        <v>123.59987737287614</v>
      </c>
      <c r="GI30">
        <f t="shared" si="13"/>
        <v>124.30305534209053</v>
      </c>
      <c r="GJ30">
        <f t="shared" si="13"/>
        <v>125.00657527372526</v>
      </c>
      <c r="GK30">
        <f t="shared" si="13"/>
        <v>125.71043922339514</v>
      </c>
      <c r="GL30">
        <f t="shared" si="13"/>
        <v>126.41464924972833</v>
      </c>
      <c r="GM30">
        <f t="shared" si="13"/>
        <v>127.11920741438466</v>
      </c>
      <c r="GN30">
        <f t="shared" si="13"/>
        <v>127.82411578207636</v>
      </c>
      <c r="GO30">
        <f t="shared" si="13"/>
        <v>128.52937642058703</v>
      </c>
      <c r="GP30">
        <f t="shared" si="13"/>
        <v>129.23499140079133</v>
      </c>
      <c r="GQ30">
        <f t="shared" si="13"/>
        <v>129.940962796675</v>
      </c>
      <c r="GR30">
        <f t="shared" si="13"/>
        <v>130.64729268535427</v>
      </c>
      <c r="GS30">
        <f t="shared" si="13"/>
        <v>131.35398314709602</v>
      </c>
      <c r="GT30">
        <f t="shared" si="13"/>
        <v>132.06103626533732</v>
      </c>
      <c r="GU30">
        <f t="shared" si="13"/>
        <v>132.76845412670551</v>
      </c>
      <c r="GV30">
        <f t="shared" si="13"/>
        <v>133.47623882103832</v>
      </c>
      <c r="GW30">
        <f t="shared" si="13"/>
        <v>134.18439244140367</v>
      </c>
      <c r="GX30">
        <f t="shared" si="13"/>
        <v>134.89291708411994</v>
      </c>
      <c r="GY30">
        <f t="shared" si="13"/>
        <v>135.60181484877603</v>
      </c>
      <c r="GZ30">
        <f t="shared" si="13"/>
        <v>136.31108783825164</v>
      </c>
      <c r="HA30">
        <f t="shared" si="13"/>
        <v>137.02073815873746</v>
      </c>
      <c r="HB30">
        <f t="shared" si="13"/>
        <v>137.730767919756</v>
      </c>
      <c r="HC30">
        <f t="shared" si="13"/>
        <v>138.44117923418028</v>
      </c>
      <c r="HD30">
        <f t="shared" si="13"/>
        <v>139.15197421825678</v>
      </c>
      <c r="HE30">
        <f t="shared" si="13"/>
        <v>139.86315499162433</v>
      </c>
      <c r="HF30">
        <f t="shared" si="13"/>
        <v>140.57472367733476</v>
      </c>
      <c r="HG30">
        <f t="shared" si="13"/>
        <v>141.28668240187406</v>
      </c>
      <c r="HH30">
        <f t="shared" si="13"/>
        <v>141.99903329518276</v>
      </c>
      <c r="HI30">
        <f t="shared" si="13"/>
        <v>142.71177849067652</v>
      </c>
      <c r="HJ30">
        <f t="shared" si="13"/>
        <v>143.42492012526733</v>
      </c>
      <c r="HK30">
        <f t="shared" si="13"/>
        <v>144.13846033938415</v>
      </c>
      <c r="HL30">
        <f t="shared" si="13"/>
        <v>144.85240127699373</v>
      </c>
      <c r="HM30">
        <f t="shared" si="13"/>
        <v>145.56674508562182</v>
      </c>
      <c r="HN30">
        <f t="shared" si="13"/>
        <v>146.28149391637425</v>
      </c>
      <c r="HO30">
        <f t="shared" si="13"/>
        <v>146.99664992395779</v>
      </c>
      <c r="HP30">
        <f t="shared" si="13"/>
        <v>147.71221526670152</v>
      </c>
      <c r="HQ30">
        <f t="shared" si="13"/>
        <v>148.42819210657808</v>
      </c>
      <c r="HR30">
        <f t="shared" si="13"/>
        <v>149.14458260922484</v>
      </c>
      <c r="HS30">
        <f t="shared" si="13"/>
        <v>149.86138894396564</v>
      </c>
      <c r="HT30">
        <f t="shared" si="13"/>
        <v>150.57861328383152</v>
      </c>
      <c r="HU30">
        <f t="shared" si="13"/>
        <v>151.29625780558314</v>
      </c>
      <c r="HV30">
        <f t="shared" si="13"/>
        <v>152.01432468973161</v>
      </c>
      <c r="HW30">
        <f t="shared" si="13"/>
        <v>152.73281612056044</v>
      </c>
      <c r="HX30">
        <f t="shared" si="13"/>
        <v>153.45173428614737</v>
      </c>
      <c r="HY30">
        <f t="shared" si="13"/>
        <v>154.17108137838588</v>
      </c>
      <c r="HZ30">
        <f t="shared" si="13"/>
        <v>154.89085959300709</v>
      </c>
      <c r="IA30">
        <f t="shared" si="13"/>
        <v>155.61107112960184</v>
      </c>
      <c r="IB30">
        <f t="shared" si="13"/>
        <v>156.33171819164249</v>
      </c>
      <c r="IC30">
        <f t="shared" si="14"/>
        <v>157.05280298650504</v>
      </c>
      <c r="ID30">
        <f t="shared" si="14"/>
        <v>157.77432772549133</v>
      </c>
      <c r="IE30">
        <f t="shared" si="14"/>
        <v>158.49629462385104</v>
      </c>
      <c r="IF30">
        <f t="shared" si="14"/>
        <v>159.218705900804</v>
      </c>
      <c r="IG30">
        <f t="shared" si="14"/>
        <v>159.94156377956284</v>
      </c>
      <c r="IH30">
        <f t="shared" si="14"/>
        <v>160.66487048735488</v>
      </c>
      <c r="II30">
        <f t="shared" si="14"/>
        <v>161.38862825544487</v>
      </c>
      <c r="IJ30">
        <f t="shared" si="14"/>
        <v>162.11283931915773</v>
      </c>
      <c r="IK30">
        <f t="shared" si="14"/>
        <v>162.83750591790064</v>
      </c>
      <c r="IL30">
        <f t="shared" si="14"/>
        <v>163.56263029518644</v>
      </c>
      <c r="IM30">
        <f t="shared" si="14"/>
        <v>164.28821469865574</v>
      </c>
      <c r="IN30">
        <f t="shared" si="14"/>
        <v>165.01426138010001</v>
      </c>
      <c r="IO30">
        <f t="shared" si="14"/>
        <v>165.74077259548474</v>
      </c>
      <c r="IP30">
        <f t="shared" si="14"/>
        <v>166.46775060497203</v>
      </c>
      <c r="IQ30">
        <f t="shared" si="14"/>
        <v>167.19519767294386</v>
      </c>
      <c r="IR30">
        <f t="shared" si="14"/>
        <v>167.92311606802548</v>
      </c>
      <c r="IS30">
        <f t="shared" si="14"/>
        <v>168.65150806310788</v>
      </c>
      <c r="IT30">
        <f t="shared" si="14"/>
        <v>169.380375935372</v>
      </c>
      <c r="IU30">
        <f t="shared" si="14"/>
        <v>170.10972196631155</v>
      </c>
      <c r="IV30">
        <f t="shared" si="14"/>
        <v>170.83954844175642</v>
      </c>
      <c r="IW30">
        <f t="shared" si="14"/>
        <v>171.56985765189674</v>
      </c>
      <c r="IX30">
        <f t="shared" si="14"/>
        <v>172.30065189130576</v>
      </c>
      <c r="IY30">
        <f t="shared" si="14"/>
        <v>173.03193345896418</v>
      </c>
      <c r="IZ30">
        <f t="shared" si="14"/>
        <v>173.76370465828359</v>
      </c>
      <c r="JA30">
        <f t="shared" si="14"/>
        <v>174.49596779713036</v>
      </c>
      <c r="JB30">
        <f t="shared" si="14"/>
        <v>175.22872518784959</v>
      </c>
      <c r="JC30">
        <f t="shared" si="14"/>
        <v>175.96197914728918</v>
      </c>
      <c r="JD30">
        <f t="shared" si="14"/>
        <v>176.69573199682401</v>
      </c>
      <c r="JE30">
        <f t="shared" si="14"/>
        <v>177.42998606237967</v>
      </c>
      <c r="JF30">
        <f t="shared" si="14"/>
        <v>178.16474367445736</v>
      </c>
      <c r="JG30">
        <f t="shared" si="14"/>
        <v>178.90000716815788</v>
      </c>
      <c r="JH30">
        <f t="shared" si="14"/>
        <v>179.63577888320589</v>
      </c>
      <c r="JI30">
        <f t="shared" si="14"/>
        <v>180.37206116397488</v>
      </c>
      <c r="JJ30">
        <f t="shared" si="14"/>
        <v>181.10885635951141</v>
      </c>
      <c r="JK30">
        <f t="shared" si="14"/>
        <v>181.84616682355991</v>
      </c>
      <c r="JL30">
        <f t="shared" si="14"/>
        <v>182.58399491458763</v>
      </c>
      <c r="JM30">
        <f t="shared" si="14"/>
        <v>183.32234299580904</v>
      </c>
      <c r="JN30">
        <f t="shared" si="14"/>
        <v>184.06121343521116</v>
      </c>
      <c r="JO30">
        <f t="shared" si="14"/>
        <v>184.80060860557887</v>
      </c>
      <c r="JP30">
        <f t="shared" si="14"/>
        <v>185.54053088451906</v>
      </c>
      <c r="JQ30">
        <f t="shared" si="14"/>
        <v>186.28098265448673</v>
      </c>
      <c r="JR30">
        <f t="shared" si="14"/>
        <v>187.0219663028102</v>
      </c>
      <c r="JS30">
        <f t="shared" si="14"/>
        <v>187.76348422171591</v>
      </c>
      <c r="JT30">
        <f t="shared" si="14"/>
        <v>188.50553880835463</v>
      </c>
      <c r="JU30">
        <f t="shared" si="14"/>
        <v>189.24813246482645</v>
      </c>
      <c r="JV30">
        <f t="shared" si="14"/>
        <v>189.99126759820697</v>
      </c>
      <c r="JW30">
        <f t="shared" si="14"/>
        <v>190.7349466205724</v>
      </c>
      <c r="JX30">
        <f t="shared" si="14"/>
        <v>191.47917194902612</v>
      </c>
      <c r="JY30">
        <f t="shared" si="14"/>
        <v>192.22394600572423</v>
      </c>
      <c r="JZ30">
        <f t="shared" si="14"/>
        <v>192.96927121790145</v>
      </c>
      <c r="KA30">
        <f t="shared" si="14"/>
        <v>193.71515001789774</v>
      </c>
      <c r="KB30">
        <f t="shared" si="14"/>
        <v>194.46158484318394</v>
      </c>
      <c r="KC30">
        <f t="shared" si="14"/>
        <v>195.20857813638872</v>
      </c>
    </row>
    <row r="31" spans="3:630" x14ac:dyDescent="0.25">
      <c r="C31">
        <f>C30+0.8</f>
        <v>3.1375000000000002</v>
      </c>
      <c r="D31">
        <v>0.97</v>
      </c>
      <c r="E31">
        <f t="shared" si="7"/>
        <v>0.48499999999999999</v>
      </c>
      <c r="F31">
        <f t="shared" si="8"/>
        <v>0.3201</v>
      </c>
      <c r="G31">
        <v>0.8</v>
      </c>
      <c r="J31">
        <f t="shared" si="0"/>
        <v>0.51567456460860006</v>
      </c>
      <c r="K31">
        <f t="shared" si="18"/>
        <v>1.0313505036997022</v>
      </c>
      <c r="L31">
        <f t="shared" si="18"/>
        <v>1.547029191767322</v>
      </c>
      <c r="M31">
        <f t="shared" si="18"/>
        <v>2.0627120033285045</v>
      </c>
      <c r="N31">
        <f t="shared" si="18"/>
        <v>2.5784003129348365</v>
      </c>
      <c r="O31">
        <f t="shared" si="18"/>
        <v>3.0940954951839625</v>
      </c>
      <c r="P31">
        <f t="shared" si="18"/>
        <v>3.6097989247311038</v>
      </c>
      <c r="Q31">
        <f t="shared" si="18"/>
        <v>4.1255119763005696</v>
      </c>
      <c r="R31">
        <f t="shared" si="18"/>
        <v>4.6412360246972773</v>
      </c>
      <c r="S31">
        <f t="shared" si="18"/>
        <v>5.1569724448182761</v>
      </c>
      <c r="T31">
        <f t="shared" si="18"/>
        <v>5.6727226116642644</v>
      </c>
      <c r="U31">
        <f t="shared" si="18"/>
        <v>6.188487900351106</v>
      </c>
      <c r="V31">
        <f t="shared" si="18"/>
        <v>6.7042696861213678</v>
      </c>
      <c r="W31">
        <f t="shared" si="18"/>
        <v>7.2200693443558341</v>
      </c>
      <c r="X31">
        <f t="shared" si="18"/>
        <v>7.7358882505850497</v>
      </c>
      <c r="Y31">
        <f t="shared" si="18"/>
        <v>8.2517277805008273</v>
      </c>
      <c r="Z31">
        <f t="shared" si="18"/>
        <v>8.7675893099678071</v>
      </c>
      <c r="AA31">
        <f t="shared" si="18"/>
        <v>9.28347421503498</v>
      </c>
      <c r="AB31">
        <f t="shared" si="18"/>
        <v>9.7993838719472279</v>
      </c>
      <c r="AC31">
        <f t="shared" si="18"/>
        <v>10.315319657156873</v>
      </c>
      <c r="AD31">
        <f t="shared" si="18"/>
        <v>10.831282947335216</v>
      </c>
      <c r="AE31">
        <f t="shared" si="18"/>
        <v>11.347275119384083</v>
      </c>
      <c r="AF31">
        <f t="shared" si="18"/>
        <v>11.863297550447403</v>
      </c>
      <c r="AG31">
        <f t="shared" si="18"/>
        <v>12.379351617922731</v>
      </c>
      <c r="AH31">
        <f t="shared" si="18"/>
        <v>12.895438699472837</v>
      </c>
      <c r="AI31">
        <f t="shared" si="18"/>
        <v>13.411560173037262</v>
      </c>
      <c r="AJ31">
        <f t="shared" si="18"/>
        <v>13.927717416843885</v>
      </c>
      <c r="AK31">
        <f t="shared" si="18"/>
        <v>14.443911809420515</v>
      </c>
      <c r="AL31">
        <f t="shared" si="18"/>
        <v>14.960144729606435</v>
      </c>
      <c r="AM31">
        <f t="shared" si="18"/>
        <v>15.476417556564034</v>
      </c>
      <c r="AN31">
        <f t="shared" si="18"/>
        <v>15.992731669790365</v>
      </c>
      <c r="AO31">
        <f t="shared" si="18"/>
        <v>16.509088449128758</v>
      </c>
      <c r="AP31">
        <f t="shared" si="18"/>
        <v>17.025489274780405</v>
      </c>
      <c r="AQ31">
        <f t="shared" si="18"/>
        <v>17.541935527315992</v>
      </c>
      <c r="AR31">
        <f t="shared" si="18"/>
        <v>18.058428587687292</v>
      </c>
      <c r="AS31">
        <f t="shared" si="18"/>
        <v>18.574969837238793</v>
      </c>
      <c r="AT31">
        <f t="shared" si="18"/>
        <v>19.091560657719327</v>
      </c>
      <c r="AU31">
        <f t="shared" si="18"/>
        <v>19.608202431293687</v>
      </c>
      <c r="AV31">
        <f t="shared" si="18"/>
        <v>20.124896540554307</v>
      </c>
      <c r="AW31">
        <f t="shared" si="18"/>
        <v>20.641644368532852</v>
      </c>
      <c r="AX31">
        <f t="shared" si="18"/>
        <v>21.158447298711927</v>
      </c>
      <c r="AY31">
        <f t="shared" si="18"/>
        <v>21.675306715036722</v>
      </c>
      <c r="AZ31">
        <f t="shared" si="18"/>
        <v>22.192224001926618</v>
      </c>
      <c r="BA31">
        <f t="shared" si="18"/>
        <v>22.709200544287011</v>
      </c>
      <c r="BB31">
        <f t="shared" si="18"/>
        <v>23.226237727520807</v>
      </c>
      <c r="BC31">
        <f t="shared" si="18"/>
        <v>23.743336937540306</v>
      </c>
      <c r="BD31">
        <f t="shared" si="18"/>
        <v>24.26049956077874</v>
      </c>
      <c r="BE31">
        <f t="shared" si="18"/>
        <v>24.77772698420209</v>
      </c>
      <c r="BF31">
        <f t="shared" si="18"/>
        <v>25.295020595320789</v>
      </c>
      <c r="BG31">
        <f t="shared" si="18"/>
        <v>25.812381782201388</v>
      </c>
      <c r="BH31">
        <f t="shared" si="18"/>
        <v>26.329811933478364</v>
      </c>
      <c r="BI31">
        <f t="shared" si="18"/>
        <v>26.847312438365837</v>
      </c>
      <c r="BJ31">
        <f t="shared" si="18"/>
        <v>27.364884686669321</v>
      </c>
      <c r="BK31">
        <f t="shared" si="18"/>
        <v>27.882530068797497</v>
      </c>
      <c r="BL31">
        <f t="shared" si="18"/>
        <v>28.400249975773988</v>
      </c>
      <c r="BM31">
        <f t="shared" si="18"/>
        <v>28.918045799249175</v>
      </c>
      <c r="BN31">
        <f t="shared" si="18"/>
        <v>29.435918931511914</v>
      </c>
      <c r="BO31">
        <f t="shared" si="18"/>
        <v>29.953870765501421</v>
      </c>
      <c r="BP31">
        <f t="shared" si="18"/>
        <v>30.471902694819054</v>
      </c>
      <c r="BQ31">
        <f t="shared" si="18"/>
        <v>30.990016113740154</v>
      </c>
      <c r="BR31">
        <f t="shared" si="18"/>
        <v>31.508212417225888</v>
      </c>
      <c r="BS31">
        <f t="shared" si="18"/>
        <v>32.026493000935041</v>
      </c>
      <c r="BT31">
        <f t="shared" si="18"/>
        <v>32.544859261236006</v>
      </c>
      <c r="BU31">
        <f t="shared" si="18"/>
        <v>33.063312595218505</v>
      </c>
      <c r="BV31">
        <f t="shared" si="18"/>
        <v>33.581854400705595</v>
      </c>
      <c r="BW31">
        <f t="shared" si="15"/>
        <v>34.10048607626549</v>
      </c>
      <c r="BX31">
        <f t="shared" si="15"/>
        <v>34.619209021223526</v>
      </c>
      <c r="BY31">
        <f t="shared" si="15"/>
        <v>35.138024635674057</v>
      </c>
      <c r="BZ31">
        <f t="shared" si="15"/>
        <v>35.656934320492354</v>
      </c>
      <c r="CA31">
        <f t="shared" si="15"/>
        <v>36.175939477346652</v>
      </c>
      <c r="CB31">
        <f t="shared" si="15"/>
        <v>36.695041508709998</v>
      </c>
      <c r="CC31">
        <f t="shared" si="15"/>
        <v>37.214241817872328</v>
      </c>
      <c r="CD31">
        <f t="shared" si="15"/>
        <v>37.733541808952346</v>
      </c>
      <c r="CE31">
        <f t="shared" si="15"/>
        <v>38.252942886909622</v>
      </c>
      <c r="CF31">
        <f t="shared" si="15"/>
        <v>38.772446457556576</v>
      </c>
      <c r="CG31">
        <f t="shared" si="15"/>
        <v>39.2920539275705</v>
      </c>
      <c r="CH31">
        <f t="shared" si="15"/>
        <v>39.811766704505587</v>
      </c>
      <c r="CI31">
        <f t="shared" si="15"/>
        <v>40.331586196805034</v>
      </c>
      <c r="CJ31">
        <f t="shared" si="15"/>
        <v>40.851513813813085</v>
      </c>
      <c r="CK31">
        <f t="shared" si="15"/>
        <v>41.371550965787087</v>
      </c>
      <c r="CL31">
        <f t="shared" si="15"/>
        <v>41.89169906390967</v>
      </c>
      <c r="CM31">
        <f t="shared" si="15"/>
        <v>42.411959520300805</v>
      </c>
      <c r="CN31">
        <f t="shared" si="15"/>
        <v>42.932333748030011</v>
      </c>
      <c r="CO31">
        <f t="shared" si="15"/>
        <v>43.452823161128393</v>
      </c>
      <c r="CP31">
        <f t="shared" si="15"/>
        <v>43.973429174600881</v>
      </c>
      <c r="CQ31">
        <f t="shared" si="15"/>
        <v>44.494153204438405</v>
      </c>
      <c r="CR31">
        <f t="shared" si="15"/>
        <v>45.014996667630122</v>
      </c>
      <c r="CS31">
        <f t="shared" si="15"/>
        <v>45.535960982175546</v>
      </c>
      <c r="CT31">
        <f t="shared" si="15"/>
        <v>46.057047567096831</v>
      </c>
      <c r="CU31">
        <f t="shared" si="15"/>
        <v>46.578257842451123</v>
      </c>
      <c r="CV31">
        <f t="shared" si="15"/>
        <v>47.099593229342545</v>
      </c>
      <c r="CW31">
        <f t="shared" si="15"/>
        <v>47.621055149934847</v>
      </c>
      <c r="CX31">
        <f t="shared" si="15"/>
        <v>48.142645027463395</v>
      </c>
      <c r="CY31">
        <f t="shared" si="15"/>
        <v>48.664364286247626</v>
      </c>
      <c r="CZ31">
        <f t="shared" si="15"/>
        <v>49.186214351703441</v>
      </c>
      <c r="DA31">
        <f t="shared" si="15"/>
        <v>49.708196650355397</v>
      </c>
      <c r="DB31">
        <f t="shared" si="15"/>
        <v>50.230312609849278</v>
      </c>
      <c r="DC31">
        <f t="shared" si="15"/>
        <v>50.752563658964348</v>
      </c>
      <c r="DD31">
        <f t="shared" si="15"/>
        <v>51.274951227625714</v>
      </c>
      <c r="DE31">
        <f t="shared" si="15"/>
        <v>51.797476746916963</v>
      </c>
      <c r="DF31">
        <f t="shared" si="19"/>
        <v>52.320141649092434</v>
      </c>
      <c r="DG31">
        <f t="shared" si="19"/>
        <v>52.842947367589744</v>
      </c>
      <c r="DH31">
        <f t="shared" si="19"/>
        <v>53.365895337042275</v>
      </c>
      <c r="DI31">
        <f t="shared" si="19"/>
        <v>53.888986993291716</v>
      </c>
      <c r="DJ31">
        <f t="shared" si="19"/>
        <v>54.412223773400498</v>
      </c>
      <c r="DK31">
        <f t="shared" si="19"/>
        <v>54.935607115664467</v>
      </c>
      <c r="DL31">
        <f t="shared" si="19"/>
        <v>55.45913845962535</v>
      </c>
      <c r="DM31">
        <f t="shared" si="19"/>
        <v>55.982819246083437</v>
      </c>
      <c r="DN31">
        <f t="shared" si="19"/>
        <v>56.506650917110051</v>
      </c>
      <c r="DO31">
        <f t="shared" si="19"/>
        <v>57.03063491606035</v>
      </c>
      <c r="DP31">
        <f t="shared" si="19"/>
        <v>57.55477268758591</v>
      </c>
      <c r="DQ31">
        <f t="shared" si="19"/>
        <v>58.07906567764735</v>
      </c>
      <c r="DR31">
        <f t="shared" si="19"/>
        <v>58.603515333527106</v>
      </c>
      <c r="DS31">
        <f t="shared" si="19"/>
        <v>59.128123103842071</v>
      </c>
      <c r="DT31">
        <f t="shared" si="19"/>
        <v>59.652890438556476</v>
      </c>
      <c r="DU31">
        <f t="shared" si="19"/>
        <v>60.1778187889945</v>
      </c>
      <c r="DV31">
        <f t="shared" si="19"/>
        <v>60.70290960785313</v>
      </c>
      <c r="DW31">
        <f t="shared" si="19"/>
        <v>61.228164349215014</v>
      </c>
      <c r="DX31">
        <f t="shared" si="19"/>
        <v>61.753584468561165</v>
      </c>
      <c r="DY31">
        <f t="shared" si="19"/>
        <v>62.279171422783946</v>
      </c>
      <c r="DZ31">
        <f t="shared" si="19"/>
        <v>62.804926670199933</v>
      </c>
      <c r="EA31">
        <f t="shared" si="19"/>
        <v>63.330851670562758</v>
      </c>
      <c r="EB31">
        <f t="shared" si="19"/>
        <v>63.856947885076082</v>
      </c>
      <c r="EC31">
        <f t="shared" si="19"/>
        <v>64.383216776406528</v>
      </c>
      <c r="ED31">
        <f t="shared" si="19"/>
        <v>64.909659808696688</v>
      </c>
      <c r="EE31">
        <f t="shared" si="19"/>
        <v>65.436278447578147</v>
      </c>
      <c r="EF31">
        <f t="shared" si="19"/>
        <v>65.963074160184377</v>
      </c>
      <c r="EG31">
        <f t="shared" si="19"/>
        <v>66.490048415163869</v>
      </c>
      <c r="EH31">
        <f t="shared" si="19"/>
        <v>67.017202682693508</v>
      </c>
      <c r="EI31">
        <f t="shared" si="19"/>
        <v>67.544538434491074</v>
      </c>
      <c r="EJ31">
        <f t="shared" si="19"/>
        <v>68.072057143828857</v>
      </c>
      <c r="EK31">
        <f t="shared" si="19"/>
        <v>68.599760285546623</v>
      </c>
      <c r="EL31">
        <f t="shared" si="19"/>
        <v>69.127649336064778</v>
      </c>
      <c r="EM31">
        <f t="shared" si="19"/>
        <v>69.655725773397762</v>
      </c>
      <c r="EN31">
        <f t="shared" si="19"/>
        <v>70.183991077166993</v>
      </c>
      <c r="EO31">
        <f t="shared" si="19"/>
        <v>70.712446728614452</v>
      </c>
      <c r="EP31">
        <f t="shared" si="19"/>
        <v>71.241094210615685</v>
      </c>
      <c r="EQ31">
        <f t="shared" si="19"/>
        <v>71.76993500769332</v>
      </c>
      <c r="ER31">
        <f t="shared" si="19"/>
        <v>72.298970606030394</v>
      </c>
      <c r="ES31">
        <f t="shared" si="19"/>
        <v>72.828202493483502</v>
      </c>
      <c r="ET31">
        <f t="shared" si="19"/>
        <v>73.357632159596619</v>
      </c>
      <c r="EU31">
        <f t="shared" si="19"/>
        <v>73.887261095614093</v>
      </c>
      <c r="EV31">
        <f t="shared" si="19"/>
        <v>74.417090794494413</v>
      </c>
      <c r="EW31">
        <f t="shared" si="19"/>
        <v>74.947122750923597</v>
      </c>
      <c r="EX31">
        <f t="shared" si="19"/>
        <v>75.477358461328635</v>
      </c>
      <c r="EY31">
        <f t="shared" si="19"/>
        <v>76.007799423891115</v>
      </c>
      <c r="EZ31">
        <f t="shared" si="19"/>
        <v>76.538447138560898</v>
      </c>
      <c r="FA31">
        <f t="shared" si="19"/>
        <v>77.06930310706953</v>
      </c>
      <c r="FB31">
        <f t="shared" si="19"/>
        <v>77.600368832944</v>
      </c>
      <c r="FC31">
        <f t="shared" si="19"/>
        <v>78.131645821520351</v>
      </c>
      <c r="FD31">
        <f t="shared" si="19"/>
        <v>78.663135579957512</v>
      </c>
      <c r="FE31">
        <f t="shared" si="19"/>
        <v>79.194839617250821</v>
      </c>
      <c r="FF31">
        <f t="shared" si="19"/>
        <v>79.726759444245971</v>
      </c>
      <c r="FG31">
        <f t="shared" si="19"/>
        <v>80.258896573652706</v>
      </c>
      <c r="FH31">
        <f t="shared" si="19"/>
        <v>80.791252520058663</v>
      </c>
      <c r="FI31">
        <f t="shared" si="19"/>
        <v>81.323828799943257</v>
      </c>
      <c r="FJ31">
        <f t="shared" si="19"/>
        <v>81.856626931691537</v>
      </c>
      <c r="FK31">
        <f t="shared" si="19"/>
        <v>82.389648435608137</v>
      </c>
      <c r="FL31">
        <f t="shared" si="19"/>
        <v>82.922894833931252</v>
      </c>
      <c r="FM31">
        <f t="shared" si="19"/>
        <v>83.456367650846531</v>
      </c>
      <c r="FN31">
        <f t="shared" si="19"/>
        <v>83.990068412501202</v>
      </c>
      <c r="FO31">
        <f t="shared" si="19"/>
        <v>84.523998647018146</v>
      </c>
      <c r="FP31">
        <f t="shared" si="19"/>
        <v>85.058159884509735</v>
      </c>
      <c r="FQ31">
        <f t="shared" si="19"/>
        <v>85.592553657092395</v>
      </c>
      <c r="FR31">
        <f>($E31*TAN(RADIANS(FR$22)))*$E31*$G31*1000*9.81*(((0.66*($E31/(COS(RADIANS(FR$22)))))+(0.66*$E31))/2)</f>
        <v>86.127181498900384</v>
      </c>
      <c r="FS31">
        <f t="shared" si="13"/>
        <v>86.662044946100139</v>
      </c>
      <c r="FT31">
        <f t="shared" si="13"/>
        <v>87.1971455369045</v>
      </c>
      <c r="FU31">
        <f t="shared" si="13"/>
        <v>87.7324848115869</v>
      </c>
      <c r="FV31">
        <f t="shared" si="13"/>
        <v>88.268064312495852</v>
      </c>
      <c r="FW31">
        <f t="shared" si="13"/>
        <v>88.803885584068965</v>
      </c>
      <c r="FX31">
        <f t="shared" ref="FX31:II32" si="20">($E31*TAN(RADIANS(FX$22)))*$E31*$G31*1000*9.81*(((0.66*($E31/(COS(RADIANS(FX$22)))))+(0.66*$E31))/2)</f>
        <v>89.339950172847665</v>
      </c>
      <c r="FY31">
        <f t="shared" si="20"/>
        <v>89.876259627491379</v>
      </c>
      <c r="FZ31">
        <f t="shared" si="20"/>
        <v>90.412815498791943</v>
      </c>
      <c r="GA31">
        <f t="shared" si="20"/>
        <v>90.949619339688368</v>
      </c>
      <c r="GB31">
        <f t="shared" si="20"/>
        <v>91.486672705280952</v>
      </c>
      <c r="GC31">
        <f t="shared" si="20"/>
        <v>92.023977152846172</v>
      </c>
      <c r="GD31">
        <f t="shared" si="20"/>
        <v>92.561534241851092</v>
      </c>
      <c r="GE31">
        <f t="shared" si="20"/>
        <v>93.099345533968076</v>
      </c>
      <c r="GF31">
        <f t="shared" si="20"/>
        <v>93.637412593089394</v>
      </c>
      <c r="GG31">
        <f t="shared" si="20"/>
        <v>94.175736985341885</v>
      </c>
      <c r="GH31">
        <f t="shared" si="20"/>
        <v>94.714320279102012</v>
      </c>
      <c r="GI31">
        <f t="shared" si="20"/>
        <v>95.253164045010081</v>
      </c>
      <c r="GJ31">
        <f t="shared" si="20"/>
        <v>95.79226985598568</v>
      </c>
      <c r="GK31">
        <f t="shared" si="20"/>
        <v>96.331639287241885</v>
      </c>
      <c r="GL31">
        <f t="shared" si="20"/>
        <v>96.871273916301092</v>
      </c>
      <c r="GM31">
        <f t="shared" si="20"/>
        <v>97.411175323008834</v>
      </c>
      <c r="GN31">
        <f t="shared" si="20"/>
        <v>97.951345089549562</v>
      </c>
      <c r="GO31">
        <f t="shared" si="20"/>
        <v>98.491784800461431</v>
      </c>
      <c r="GP31">
        <f t="shared" si="20"/>
        <v>99.032496042651303</v>
      </c>
      <c r="GQ31">
        <f t="shared" si="20"/>
        <v>99.573480405409938</v>
      </c>
      <c r="GR31">
        <f t="shared" si="20"/>
        <v>100.11473948042706</v>
      </c>
      <c r="GS31">
        <f t="shared" si="20"/>
        <v>100.65627486180666</v>
      </c>
      <c r="GT31">
        <f t="shared" si="20"/>
        <v>101.19808814608216</v>
      </c>
      <c r="GU31">
        <f t="shared" si="20"/>
        <v>101.74018093223155</v>
      </c>
      <c r="GV31">
        <f t="shared" si="20"/>
        <v>102.28255482169295</v>
      </c>
      <c r="GW31">
        <f t="shared" si="20"/>
        <v>102.82521141837991</v>
      </c>
      <c r="GX31">
        <f t="shared" si="20"/>
        <v>103.36815232869664</v>
      </c>
      <c r="GY31">
        <f t="shared" si="20"/>
        <v>103.91137916155358</v>
      </c>
      <c r="GZ31">
        <f t="shared" si="20"/>
        <v>104.454893528383</v>
      </c>
      <c r="HA31">
        <f t="shared" si="20"/>
        <v>104.99869704315418</v>
      </c>
      <c r="HB31">
        <f t="shared" si="20"/>
        <v>105.54279132238979</v>
      </c>
      <c r="HC31">
        <f t="shared" si="20"/>
        <v>106.08717798517985</v>
      </c>
      <c r="HD31">
        <f t="shared" si="20"/>
        <v>106.6318586531995</v>
      </c>
      <c r="HE31">
        <f t="shared" si="20"/>
        <v>107.17683495072333</v>
      </c>
      <c r="HF31">
        <f t="shared" si="20"/>
        <v>107.7221085046415</v>
      </c>
      <c r="HG31">
        <f t="shared" si="20"/>
        <v>108.26768094447561</v>
      </c>
      <c r="HH31">
        <f t="shared" si="20"/>
        <v>108.81355390239447</v>
      </c>
      <c r="HI31">
        <f t="shared" si="20"/>
        <v>109.35972901323002</v>
      </c>
      <c r="HJ31">
        <f t="shared" si="20"/>
        <v>109.90620791449322</v>
      </c>
      <c r="HK31">
        <f t="shared" si="20"/>
        <v>110.4529922463902</v>
      </c>
      <c r="HL31">
        <f t="shared" si="20"/>
        <v>111.00008365183814</v>
      </c>
      <c r="HM31">
        <f t="shared" si="20"/>
        <v>111.54748377648134</v>
      </c>
      <c r="HN31">
        <f t="shared" si="20"/>
        <v>112.09519426870757</v>
      </c>
      <c r="HO31">
        <f t="shared" si="20"/>
        <v>112.64321677966399</v>
      </c>
      <c r="HP31">
        <f t="shared" si="20"/>
        <v>113.19155296327355</v>
      </c>
      <c r="HQ31">
        <f t="shared" si="20"/>
        <v>113.74020447625128</v>
      </c>
      <c r="HR31">
        <f t="shared" si="20"/>
        <v>114.28917297812039</v>
      </c>
      <c r="HS31">
        <f t="shared" si="20"/>
        <v>114.83846013122904</v>
      </c>
      <c r="HT31">
        <f t="shared" si="20"/>
        <v>115.38806760076633</v>
      </c>
      <c r="HU31">
        <f t="shared" si="20"/>
        <v>115.93799705477919</v>
      </c>
      <c r="HV31">
        <f t="shared" si="20"/>
        <v>116.48825016418866</v>
      </c>
      <c r="HW31">
        <f t="shared" si="20"/>
        <v>117.0388286028065</v>
      </c>
      <c r="HX31">
        <f t="shared" si="20"/>
        <v>117.58973404735194</v>
      </c>
      <c r="HY31">
        <f t="shared" si="20"/>
        <v>118.14096817746825</v>
      </c>
      <c r="HZ31">
        <f t="shared" si="20"/>
        <v>118.69253267573946</v>
      </c>
      <c r="IA31">
        <f t="shared" si="20"/>
        <v>119.24442922770733</v>
      </c>
      <c r="IB31">
        <f t="shared" si="20"/>
        <v>119.7966595218879</v>
      </c>
      <c r="IC31">
        <f t="shared" si="20"/>
        <v>120.34922524978883</v>
      </c>
      <c r="ID31">
        <f t="shared" si="20"/>
        <v>120.90212810592578</v>
      </c>
      <c r="IE31">
        <f t="shared" si="20"/>
        <v>121.4553697878399</v>
      </c>
      <c r="IF31">
        <f t="shared" si="20"/>
        <v>122.00895199611462</v>
      </c>
      <c r="IG31">
        <f t="shared" si="20"/>
        <v>122.56287643439292</v>
      </c>
      <c r="IH31">
        <f t="shared" si="20"/>
        <v>123.11714480939433</v>
      </c>
      <c r="II31">
        <f t="shared" si="20"/>
        <v>123.67175883093226</v>
      </c>
      <c r="IJ31">
        <f t="shared" si="14"/>
        <v>124.22672021193132</v>
      </c>
      <c r="IK31">
        <f t="shared" si="14"/>
        <v>124.78203066844449</v>
      </c>
      <c r="IL31">
        <f t="shared" si="14"/>
        <v>125.3376919196708</v>
      </c>
      <c r="IM31">
        <f t="shared" si="14"/>
        <v>125.89370568797243</v>
      </c>
      <c r="IN31">
        <f t="shared" si="14"/>
        <v>126.45007369889234</v>
      </c>
      <c r="IO31">
        <f t="shared" si="14"/>
        <v>127.00679768117203</v>
      </c>
      <c r="IP31">
        <f t="shared" si="14"/>
        <v>127.56387936676887</v>
      </c>
      <c r="IQ31">
        <f t="shared" si="14"/>
        <v>128.1213204908739</v>
      </c>
      <c r="IR31">
        <f t="shared" si="14"/>
        <v>128.6791227919297</v>
      </c>
      <c r="IS31">
        <f t="shared" si="14"/>
        <v>129.23728801164788</v>
      </c>
      <c r="IT31">
        <f t="shared" si="14"/>
        <v>129.7958178950272</v>
      </c>
      <c r="IU31">
        <f t="shared" si="14"/>
        <v>130.35471419037145</v>
      </c>
      <c r="IV31">
        <f t="shared" si="14"/>
        <v>130.91397864930707</v>
      </c>
      <c r="IW31">
        <f t="shared" si="14"/>
        <v>131.47361302680187</v>
      </c>
      <c r="IX31">
        <f t="shared" si="14"/>
        <v>132.03361908118248</v>
      </c>
      <c r="IY31">
        <f t="shared" si="14"/>
        <v>132.59399857415281</v>
      </c>
      <c r="IZ31">
        <f t="shared" si="14"/>
        <v>133.15475327081211</v>
      </c>
      <c r="JA31">
        <f t="shared" si="14"/>
        <v>133.71588493967357</v>
      </c>
      <c r="JB31">
        <f t="shared" si="14"/>
        <v>134.27739535268228</v>
      </c>
      <c r="JC31">
        <f t="shared" si="14"/>
        <v>134.83928628523364</v>
      </c>
      <c r="JD31">
        <f t="shared" si="14"/>
        <v>135.40155951619229</v>
      </c>
      <c r="JE31">
        <f t="shared" si="14"/>
        <v>135.96421682791012</v>
      </c>
      <c r="JF31">
        <f t="shared" si="14"/>
        <v>136.52726000624511</v>
      </c>
      <c r="JG31">
        <f t="shared" si="14"/>
        <v>137.09069084057992</v>
      </c>
      <c r="JH31">
        <f t="shared" si="14"/>
        <v>137.65451112384062</v>
      </c>
      <c r="JI31">
        <f t="shared" si="14"/>
        <v>138.21872265251548</v>
      </c>
      <c r="JJ31">
        <f t="shared" si="14"/>
        <v>138.78332722667398</v>
      </c>
      <c r="JK31">
        <f t="shared" si="14"/>
        <v>139.34832664998527</v>
      </c>
      <c r="JL31">
        <f t="shared" si="14"/>
        <v>139.91372272973777</v>
      </c>
      <c r="JM31">
        <f t="shared" si="14"/>
        <v>140.47951727685768</v>
      </c>
      <c r="JN31">
        <f t="shared" si="14"/>
        <v>141.04571210592846</v>
      </c>
      <c r="JO31">
        <f t="shared" si="14"/>
        <v>141.61230903520976</v>
      </c>
      <c r="JP31">
        <f t="shared" si="14"/>
        <v>142.17930988665688</v>
      </c>
      <c r="JQ31">
        <f t="shared" si="14"/>
        <v>142.74671648594003</v>
      </c>
      <c r="JR31">
        <f t="shared" si="14"/>
        <v>143.31453066246348</v>
      </c>
      <c r="JS31">
        <f t="shared" si="14"/>
        <v>143.88275424938547</v>
      </c>
      <c r="JT31">
        <f t="shared" si="14"/>
        <v>144.45138908363731</v>
      </c>
      <c r="JU31">
        <f t="shared" si="14"/>
        <v>145.02043700594325</v>
      </c>
      <c r="JV31">
        <f t="shared" si="14"/>
        <v>145.58989986084006</v>
      </c>
      <c r="JW31">
        <f t="shared" si="14"/>
        <v>146.15977949669661</v>
      </c>
      <c r="JX31">
        <f t="shared" si="14"/>
        <v>146.73007776573399</v>
      </c>
      <c r="JY31">
        <f t="shared" si="14"/>
        <v>147.30079652404524</v>
      </c>
      <c r="JZ31">
        <f t="shared" si="14"/>
        <v>147.87193763161517</v>
      </c>
      <c r="KA31">
        <f>($E31*TAN(RADIANS(KA$22)))*$E31*$G31*1000*9.81*(((0.66*($E31/(COS(RADIANS(KA$22)))))+(0.66*$E31))/2)</f>
        <v>148.44350295234045</v>
      </c>
      <c r="KB31">
        <f>($E31*TAN(RADIANS(KB$22)))*$E31*$G31*1000*9.81*(((0.66*($E31/(COS(RADIANS(KB$22)))))+(0.66*$E31))/2)</f>
        <v>149.01549435404996</v>
      </c>
      <c r="KC31">
        <f>($E31*TAN(RADIANS(KC$22)))*$E31*$G31*1000*9.81*(((0.66*($E31/(COS(RADIANS(KC$22)))))+(0.66*$E31))/2)</f>
        <v>149.58791370852467</v>
      </c>
    </row>
    <row r="32" spans="3:630" x14ac:dyDescent="0.25">
      <c r="C32">
        <f>C31+0.8</f>
        <v>3.9375</v>
      </c>
      <c r="D32">
        <v>0.89</v>
      </c>
      <c r="E32">
        <f t="shared" si="7"/>
        <v>0.44500000000000001</v>
      </c>
      <c r="F32">
        <f t="shared" si="8"/>
        <v>0.29370000000000002</v>
      </c>
      <c r="G32">
        <v>0.8</v>
      </c>
      <c r="J32">
        <f t="shared" si="0"/>
        <v>0.39831854578535814</v>
      </c>
      <c r="K32">
        <f t="shared" si="18"/>
        <v>0.7966381532516853</v>
      </c>
      <c r="L32">
        <f t="shared" si="18"/>
        <v>1.194959884088844</v>
      </c>
      <c r="M32">
        <f t="shared" si="18"/>
        <v>1.5932848000044844</v>
      </c>
      <c r="N32">
        <f t="shared" si="18"/>
        <v>1.9916139627329386</v>
      </c>
      <c r="O32">
        <f t="shared" si="18"/>
        <v>2.3899484340441139</v>
      </c>
      <c r="P32">
        <f t="shared" si="18"/>
        <v>2.7882892757523909</v>
      </c>
      <c r="Q32">
        <f t="shared" si="18"/>
        <v>3.1866375497255168</v>
      </c>
      <c r="R32">
        <f t="shared" si="18"/>
        <v>3.5849943178935004</v>
      </c>
      <c r="S32">
        <f t="shared" si="18"/>
        <v>3.9833606422575181</v>
      </c>
      <c r="T32">
        <f t="shared" si="18"/>
        <v>4.3817375848988034</v>
      </c>
      <c r="U32">
        <f t="shared" si="18"/>
        <v>4.7801262079875473</v>
      </c>
      <c r="V32">
        <f t="shared" si="18"/>
        <v>5.1785275737918139</v>
      </c>
      <c r="W32">
        <f t="shared" si="18"/>
        <v>5.5769427446864208</v>
      </c>
      <c r="X32">
        <f t="shared" si="18"/>
        <v>5.9753727831618697</v>
      </c>
      <c r="Y32">
        <f t="shared" si="18"/>
        <v>6.3738187518332303</v>
      </c>
      <c r="Z32">
        <f t="shared" si="18"/>
        <v>6.772281713449062</v>
      </c>
      <c r="AA32">
        <f t="shared" si="18"/>
        <v>7.1707627309003286</v>
      </c>
      <c r="AB32">
        <f t="shared" si="18"/>
        <v>7.569262867229301</v>
      </c>
      <c r="AC32">
        <f t="shared" si="18"/>
        <v>7.9677831856384769</v>
      </c>
      <c r="AD32">
        <f t="shared" si="18"/>
        <v>8.366324749499503</v>
      </c>
      <c r="AE32">
        <f t="shared" si="18"/>
        <v>8.7648886223620934</v>
      </c>
      <c r="AF32">
        <f t="shared" si="18"/>
        <v>9.1634758679629567</v>
      </c>
      <c r="AG32">
        <f t="shared" si="18"/>
        <v>9.5620875502347165</v>
      </c>
      <c r="AH32">
        <f t="shared" si="18"/>
        <v>9.9607247333148532</v>
      </c>
      <c r="AI32">
        <f t="shared" si="18"/>
        <v>10.359388481554628</v>
      </c>
      <c r="AJ32">
        <f t="shared" si="18"/>
        <v>10.758079859528022</v>
      </c>
      <c r="AK32">
        <f t="shared" si="18"/>
        <v>11.156799932040684</v>
      </c>
      <c r="AL32">
        <f t="shared" si="18"/>
        <v>11.555549764138874</v>
      </c>
      <c r="AM32">
        <f t="shared" si="18"/>
        <v>11.954330421118399</v>
      </c>
      <c r="AN32">
        <f t="shared" si="18"/>
        <v>12.353142968533579</v>
      </c>
      <c r="AO32">
        <f t="shared" si="18"/>
        <v>12.751988472206202</v>
      </c>
      <c r="AP32">
        <f t="shared" si="18"/>
        <v>13.150867998234489</v>
      </c>
      <c r="AQ32">
        <f t="shared" si="18"/>
        <v>13.549782613002064</v>
      </c>
      <c r="AR32">
        <f t="shared" si="18"/>
        <v>13.948733383186886</v>
      </c>
      <c r="AS32">
        <f t="shared" si="18"/>
        <v>14.347721375770293</v>
      </c>
      <c r="AT32">
        <f t="shared" si="18"/>
        <v>14.746747658045914</v>
      </c>
      <c r="AU32">
        <f t="shared" si="18"/>
        <v>15.145813297628703</v>
      </c>
      <c r="AV32">
        <f t="shared" si="18"/>
        <v>15.544919362463915</v>
      </c>
      <c r="AW32">
        <f t="shared" si="18"/>
        <v>15.944066920836093</v>
      </c>
      <c r="AX32">
        <f t="shared" si="18"/>
        <v>16.343257041378077</v>
      </c>
      <c r="AY32">
        <f t="shared" si="18"/>
        <v>16.74249079308002</v>
      </c>
      <c r="AZ32">
        <f t="shared" si="18"/>
        <v>17.141769245298381</v>
      </c>
      <c r="BA32">
        <f t="shared" si="18"/>
        <v>17.541093467764984</v>
      </c>
      <c r="BB32">
        <f t="shared" si="18"/>
        <v>17.940464530595978</v>
      </c>
      <c r="BC32">
        <f t="shared" si="18"/>
        <v>18.339883504300936</v>
      </c>
      <c r="BD32">
        <f t="shared" si="18"/>
        <v>18.739351459791873</v>
      </c>
      <c r="BE32">
        <f t="shared" si="18"/>
        <v>19.138869468392262</v>
      </c>
      <c r="BF32">
        <f t="shared" si="18"/>
        <v>19.538438601846124</v>
      </c>
      <c r="BG32">
        <f t="shared" si="18"/>
        <v>19.938059932327061</v>
      </c>
      <c r="BH32">
        <f t="shared" si="18"/>
        <v>20.337734532447346</v>
      </c>
      <c r="BI32">
        <f t="shared" si="18"/>
        <v>20.737463475266967</v>
      </c>
      <c r="BJ32">
        <f t="shared" si="18"/>
        <v>21.137247834302741</v>
      </c>
      <c r="BK32">
        <f t="shared" si="18"/>
        <v>21.537088683537377</v>
      </c>
      <c r="BL32">
        <f t="shared" si="18"/>
        <v>21.936987097428563</v>
      </c>
      <c r="BM32">
        <f t="shared" si="18"/>
        <v>22.336944150918114</v>
      </c>
      <c r="BN32">
        <f t="shared" si="18"/>
        <v>22.736960919441056</v>
      </c>
      <c r="BO32">
        <f t="shared" si="18"/>
        <v>23.137038478934702</v>
      </c>
      <c r="BP32">
        <f t="shared" si="18"/>
        <v>23.53717790584788</v>
      </c>
      <c r="BQ32">
        <f t="shared" si="18"/>
        <v>23.93738027714997</v>
      </c>
      <c r="BR32">
        <f t="shared" si="18"/>
        <v>24.337646670340106</v>
      </c>
      <c r="BS32">
        <f t="shared" si="18"/>
        <v>24.737978163456326</v>
      </c>
      <c r="BT32">
        <f t="shared" si="18"/>
        <v>25.13837583508473</v>
      </c>
      <c r="BU32">
        <f t="shared" si="18"/>
        <v>25.538840764368608</v>
      </c>
      <c r="BV32">
        <f t="shared" ref="BV32:EG32" si="21">($E32*TAN(RADIANS(BV$22)))*$E32*$G32*1000*9.81*(((0.66*($E32/(COS(RADIANS(BV$22)))))+(0.66*$E32))/2)</f>
        <v>25.939374031017714</v>
      </c>
      <c r="BW32">
        <f t="shared" si="21"/>
        <v>26.339976715317317</v>
      </c>
      <c r="BX32">
        <f t="shared" si="21"/>
        <v>26.740649898137598</v>
      </c>
      <c r="BY32">
        <f t="shared" si="21"/>
        <v>27.141394660942641</v>
      </c>
      <c r="BZ32">
        <f t="shared" si="21"/>
        <v>27.542212085799811</v>
      </c>
      <c r="CA32">
        <f t="shared" si="21"/>
        <v>27.943103255388948</v>
      </c>
      <c r="CB32">
        <f t="shared" si="21"/>
        <v>28.344069253011519</v>
      </c>
      <c r="CC32">
        <f t="shared" si="21"/>
        <v>28.745111162600011</v>
      </c>
      <c r="CD32">
        <f t="shared" si="21"/>
        <v>29.146230068727057</v>
      </c>
      <c r="CE32">
        <f t="shared" si="21"/>
        <v>29.547427056614794</v>
      </c>
      <c r="CF32">
        <f t="shared" si="21"/>
        <v>29.948703212144114</v>
      </c>
      <c r="CG32">
        <f t="shared" si="21"/>
        <v>30.35005962186397</v>
      </c>
      <c r="CH32">
        <f t="shared" si="21"/>
        <v>30.751497373000635</v>
      </c>
      <c r="CI32">
        <f t="shared" si="21"/>
        <v>31.153017553467073</v>
      </c>
      <c r="CJ32">
        <f t="shared" si="21"/>
        <v>31.554621251872241</v>
      </c>
      <c r="CK32">
        <f t="shared" si="21"/>
        <v>31.956309557530414</v>
      </c>
      <c r="CL32">
        <f t="shared" si="21"/>
        <v>32.35808356047054</v>
      </c>
      <c r="CM32">
        <f t="shared" si="21"/>
        <v>32.75994435144564</v>
      </c>
      <c r="CN32">
        <f t="shared" si="21"/>
        <v>33.161893021942113</v>
      </c>
      <c r="CO32">
        <f t="shared" si="21"/>
        <v>33.563930664189172</v>
      </c>
      <c r="CP32">
        <f t="shared" si="21"/>
        <v>33.966058371168216</v>
      </c>
      <c r="CQ32">
        <f t="shared" si="21"/>
        <v>34.368277236622248</v>
      </c>
      <c r="CR32">
        <f t="shared" si="21"/>
        <v>34.770588355065321</v>
      </c>
      <c r="CS32">
        <f t="shared" si="21"/>
        <v>35.172992821791937</v>
      </c>
      <c r="CT32">
        <f t="shared" si="21"/>
        <v>35.575491732886483</v>
      </c>
      <c r="CU32">
        <f t="shared" si="21"/>
        <v>35.978086185232733</v>
      </c>
      <c r="CV32">
        <f t="shared" si="21"/>
        <v>36.380777276523347</v>
      </c>
      <c r="CW32">
        <f t="shared" si="21"/>
        <v>36.78356610526928</v>
      </c>
      <c r="CX32">
        <f t="shared" si="21"/>
        <v>37.186453770809308</v>
      </c>
      <c r="CY32">
        <f t="shared" si="21"/>
        <v>37.58944137331958</v>
      </c>
      <c r="CZ32">
        <f t="shared" si="21"/>
        <v>37.992530013823163</v>
      </c>
      <c r="DA32">
        <f t="shared" si="21"/>
        <v>38.395720794199455</v>
      </c>
      <c r="DB32">
        <f t="shared" si="21"/>
        <v>38.799014817193942</v>
      </c>
      <c r="DC32">
        <f t="shared" si="21"/>
        <v>39.202413186427599</v>
      </c>
      <c r="DD32">
        <f t="shared" si="21"/>
        <v>39.60591700640655</v>
      </c>
      <c r="DE32">
        <f t="shared" si="21"/>
        <v>40.009527382531658</v>
      </c>
      <c r="DF32">
        <f t="shared" si="21"/>
        <v>40.413245421108151</v>
      </c>
      <c r="DG32">
        <f t="shared" si="21"/>
        <v>40.817072229355283</v>
      </c>
      <c r="DH32">
        <f t="shared" si="21"/>
        <v>41.221008915415894</v>
      </c>
      <c r="DI32">
        <f t="shared" si="21"/>
        <v>41.625056588366114</v>
      </c>
      <c r="DJ32">
        <f t="shared" si="21"/>
        <v>42.029216358225099</v>
      </c>
      <c r="DK32">
        <f t="shared" si="21"/>
        <v>42.433489335964666</v>
      </c>
      <c r="DL32">
        <f t="shared" si="21"/>
        <v>42.837876633518945</v>
      </c>
      <c r="DM32">
        <f t="shared" si="21"/>
        <v>43.242379363794257</v>
      </c>
      <c r="DN32">
        <f t="shared" si="21"/>
        <v>43.646998640678703</v>
      </c>
      <c r="DO32">
        <f t="shared" si="21"/>
        <v>44.051735579052036</v>
      </c>
      <c r="DP32">
        <f t="shared" si="21"/>
        <v>44.456591294795366</v>
      </c>
      <c r="DQ32">
        <f t="shared" si="21"/>
        <v>44.861566904800938</v>
      </c>
      <c r="DR32">
        <f t="shared" si="21"/>
        <v>45.266663526982029</v>
      </c>
      <c r="DS32">
        <f t="shared" si="21"/>
        <v>45.671882280282702</v>
      </c>
      <c r="DT32">
        <f t="shared" si="21"/>
        <v>46.077224284687645</v>
      </c>
      <c r="DU32">
        <f t="shared" si="21"/>
        <v>46.482690661232105</v>
      </c>
      <c r="DV32">
        <f t="shared" si="21"/>
        <v>46.888282532011601</v>
      </c>
      <c r="DW32">
        <f t="shared" si="21"/>
        <v>47.294001020192056</v>
      </c>
      <c r="DX32">
        <f t="shared" si="21"/>
        <v>47.699847250019552</v>
      </c>
      <c r="DY32">
        <f t="shared" si="21"/>
        <v>48.105822346830223</v>
      </c>
      <c r="DZ32">
        <f t="shared" si="21"/>
        <v>48.511927437060343</v>
      </c>
      <c r="EA32">
        <f t="shared" si="21"/>
        <v>48.918163648256233</v>
      </c>
      <c r="EB32">
        <f t="shared" si="21"/>
        <v>49.32453210908421</v>
      </c>
      <c r="EC32">
        <f t="shared" si="21"/>
        <v>49.731033949340606</v>
      </c>
      <c r="ED32">
        <f t="shared" si="21"/>
        <v>50.137670299961897</v>
      </c>
      <c r="EE32">
        <f t="shared" si="21"/>
        <v>50.544442293034543</v>
      </c>
      <c r="EF32">
        <f t="shared" si="21"/>
        <v>50.951351061805305</v>
      </c>
      <c r="EG32">
        <f t="shared" si="21"/>
        <v>51.358397740690975</v>
      </c>
      <c r="EH32">
        <f t="shared" si="19"/>
        <v>51.765583465289055</v>
      </c>
      <c r="EI32">
        <f t="shared" si="19"/>
        <v>52.172909372387203</v>
      </c>
      <c r="EJ32">
        <f t="shared" si="19"/>
        <v>52.580376599973818</v>
      </c>
      <c r="EK32">
        <f t="shared" si="19"/>
        <v>52.987986287248035</v>
      </c>
      <c r="EL32">
        <f t="shared" si="19"/>
        <v>53.395739574629978</v>
      </c>
      <c r="EM32">
        <f t="shared" si="19"/>
        <v>53.803637603770952</v>
      </c>
      <c r="EN32">
        <f t="shared" si="19"/>
        <v>54.21168151756364</v>
      </c>
      <c r="EO32">
        <f t="shared" si="19"/>
        <v>54.61987246015233</v>
      </c>
      <c r="EP32">
        <f t="shared" si="19"/>
        <v>55.028211576943271</v>
      </c>
      <c r="EQ32">
        <f t="shared" si="19"/>
        <v>55.436700014614843</v>
      </c>
      <c r="ER32">
        <f t="shared" si="19"/>
        <v>55.845338921128004</v>
      </c>
      <c r="ES32">
        <f t="shared" si="19"/>
        <v>56.25412944573641</v>
      </c>
      <c r="ET32">
        <f t="shared" si="19"/>
        <v>56.66307273899708</v>
      </c>
      <c r="EU32">
        <f t="shared" si="19"/>
        <v>57.072169952780442</v>
      </c>
      <c r="EV32">
        <f t="shared" si="19"/>
        <v>57.481422240280963</v>
      </c>
      <c r="EW32">
        <f t="shared" si="19"/>
        <v>57.890830756027484</v>
      </c>
      <c r="EX32">
        <f t="shared" si="19"/>
        <v>58.3003966558936</v>
      </c>
      <c r="EY32">
        <f t="shared" si="19"/>
        <v>58.710121097108285</v>
      </c>
      <c r="EZ32">
        <f t="shared" si="19"/>
        <v>59.120005238266224</v>
      </c>
      <c r="FA32">
        <f t="shared" si="19"/>
        <v>59.530050239338415</v>
      </c>
      <c r="FB32">
        <f t="shared" si="19"/>
        <v>59.94025726168266</v>
      </c>
      <c r="FC32">
        <f t="shared" si="19"/>
        <v>60.350627468054171</v>
      </c>
      <c r="FD32">
        <f t="shared" si="19"/>
        <v>60.761162022616091</v>
      </c>
      <c r="FE32">
        <f t="shared" si="19"/>
        <v>61.171862090950114</v>
      </c>
      <c r="FF32">
        <f t="shared" si="19"/>
        <v>61.582728840067197</v>
      </c>
      <c r="FG32">
        <f t="shared" si="19"/>
        <v>61.993763438418121</v>
      </c>
      <c r="FH32">
        <f t="shared" si="19"/>
        <v>62.404967055904187</v>
      </c>
      <c r="FI32">
        <f t="shared" si="19"/>
        <v>62.816340863887952</v>
      </c>
      <c r="FJ32">
        <f t="shared" si="19"/>
        <v>63.227886035203916</v>
      </c>
      <c r="FK32">
        <f t="shared" si="19"/>
        <v>63.639603744169314</v>
      </c>
      <c r="FL32">
        <f t="shared" si="19"/>
        <v>64.051495166594918</v>
      </c>
      <c r="FM32">
        <f t="shared" si="19"/>
        <v>64.463561479795757</v>
      </c>
      <c r="FN32">
        <f t="shared" si="19"/>
        <v>64.875803862602012</v>
      </c>
      <c r="FO32">
        <f t="shared" si="19"/>
        <v>65.288223495369905</v>
      </c>
      <c r="FP32">
        <f t="shared" si="19"/>
        <v>65.700821559992406</v>
      </c>
      <c r="FQ32">
        <f t="shared" si="19"/>
        <v>66.113599239910457</v>
      </c>
      <c r="FR32">
        <f>($E32*TAN(RADIANS(FR$22)))*$E32*$G32*1000*9.81*(((0.66*($E32/(COS(RADIANS(FR$22)))))+(0.66*$E32))/2)</f>
        <v>66.526557720123535</v>
      </c>
      <c r="FS32">
        <f t="shared" ref="FS32:ID32" si="22">($E32*TAN(RADIANS(FS$22)))*$E32*$G32*1000*9.81*(((0.66*($E32/(COS(RADIANS(FS$22)))))+(0.66*$E32))/2)</f>
        <v>66.939698187200975</v>
      </c>
      <c r="FT32">
        <f t="shared" si="22"/>
        <v>67.353021829292686</v>
      </c>
      <c r="FU32">
        <f t="shared" si="22"/>
        <v>67.766529836140236</v>
      </c>
      <c r="FV32">
        <f t="shared" si="22"/>
        <v>68.18022339908805</v>
      </c>
      <c r="FW32">
        <f t="shared" si="22"/>
        <v>68.594103711094249</v>
      </c>
      <c r="FX32">
        <f t="shared" si="22"/>
        <v>69.008171966741941</v>
      </c>
      <c r="FY32">
        <f t="shared" si="22"/>
        <v>69.422429362250199</v>
      </c>
      <c r="FZ32">
        <f t="shared" si="22"/>
        <v>69.836877095485335</v>
      </c>
      <c r="GA32">
        <f t="shared" si="22"/>
        <v>70.251516365972023</v>
      </c>
      <c r="GB32">
        <f t="shared" si="22"/>
        <v>70.666348374904501</v>
      </c>
      <c r="GC32">
        <f t="shared" si="22"/>
        <v>71.081374325157896</v>
      </c>
      <c r="GD32">
        <f t="shared" si="22"/>
        <v>71.496595421299347</v>
      </c>
      <c r="GE32">
        <f t="shared" si="22"/>
        <v>71.912012869599451</v>
      </c>
      <c r="GF32">
        <f t="shared" si="22"/>
        <v>72.327627878043558</v>
      </c>
      <c r="GG32">
        <f t="shared" si="22"/>
        <v>72.743441656342966</v>
      </c>
      <c r="GH32">
        <f t="shared" si="22"/>
        <v>73.159455415946638</v>
      </c>
      <c r="GI32">
        <f t="shared" si="22"/>
        <v>73.575670370052293</v>
      </c>
      <c r="GJ32">
        <f t="shared" si="22"/>
        <v>73.992087733618035</v>
      </c>
      <c r="GK32">
        <f t="shared" si="22"/>
        <v>74.408708723373692</v>
      </c>
      <c r="GL32">
        <f t="shared" si="22"/>
        <v>74.825534557832725</v>
      </c>
      <c r="GM32">
        <f t="shared" si="22"/>
        <v>75.242566457303099</v>
      </c>
      <c r="GN32">
        <f t="shared" si="22"/>
        <v>75.659805643899489</v>
      </c>
      <c r="GO32">
        <f t="shared" si="22"/>
        <v>76.077253341554439</v>
      </c>
      <c r="GP32">
        <f t="shared" si="22"/>
        <v>76.494910776030252</v>
      </c>
      <c r="GQ32">
        <f t="shared" si="22"/>
        <v>76.912779174930606</v>
      </c>
      <c r="GR32">
        <f t="shared" si="22"/>
        <v>77.330859767712212</v>
      </c>
      <c r="GS32">
        <f t="shared" si="22"/>
        <v>77.749153785696521</v>
      </c>
      <c r="GT32">
        <f t="shared" si="22"/>
        <v>78.16766246208158</v>
      </c>
      <c r="GU32">
        <f t="shared" si="22"/>
        <v>78.586387031953791</v>
      </c>
      <c r="GV32">
        <f t="shared" si="22"/>
        <v>79.005328732299603</v>
      </c>
      <c r="GW32">
        <f t="shared" si="22"/>
        <v>79.424488802017677</v>
      </c>
      <c r="GX32">
        <f t="shared" si="22"/>
        <v>79.8438684819305</v>
      </c>
      <c r="GY32">
        <f t="shared" si="22"/>
        <v>80.263469014796442</v>
      </c>
      <c r="GZ32">
        <f t="shared" si="22"/>
        <v>80.683291645321646</v>
      </c>
      <c r="HA32">
        <f t="shared" si="22"/>
        <v>81.103337620172184</v>
      </c>
      <c r="HB32">
        <f t="shared" si="22"/>
        <v>81.523608187986071</v>
      </c>
      <c r="HC32">
        <f t="shared" si="22"/>
        <v>81.944104599384758</v>
      </c>
      <c r="HD32">
        <f t="shared" si="22"/>
        <v>82.364828106986195</v>
      </c>
      <c r="HE32">
        <f t="shared" si="22"/>
        <v>82.785779965416381</v>
      </c>
      <c r="HF32">
        <f t="shared" si="22"/>
        <v>83.206961431321659</v>
      </c>
      <c r="HG32">
        <f t="shared" si="22"/>
        <v>83.628373763380807</v>
      </c>
      <c r="HH32">
        <f t="shared" si="22"/>
        <v>84.050018222317476</v>
      </c>
      <c r="HI32">
        <f t="shared" si="22"/>
        <v>84.471896070912322</v>
      </c>
      <c r="HJ32">
        <f t="shared" si="22"/>
        <v>84.89400857401543</v>
      </c>
      <c r="HK32">
        <f t="shared" si="22"/>
        <v>85.316356998558618</v>
      </c>
      <c r="HL32">
        <f t="shared" si="22"/>
        <v>85.73894261356773</v>
      </c>
      <c r="HM32">
        <f t="shared" si="22"/>
        <v>86.161766690175227</v>
      </c>
      <c r="HN32">
        <f t="shared" si="22"/>
        <v>86.584830501632581</v>
      </c>
      <c r="HO32">
        <f t="shared" si="22"/>
        <v>87.008135323322776</v>
      </c>
      <c r="HP32">
        <f t="shared" si="22"/>
        <v>87.431682432772789</v>
      </c>
      <c r="HQ32">
        <f t="shared" si="22"/>
        <v>87.855473109666221</v>
      </c>
      <c r="HR32">
        <f t="shared" si="22"/>
        <v>88.279508635855962</v>
      </c>
      <c r="HS32">
        <f t="shared" si="22"/>
        <v>88.703790295376777</v>
      </c>
      <c r="HT32">
        <f t="shared" si="22"/>
        <v>89.128319374457945</v>
      </c>
      <c r="HU32">
        <f t="shared" si="22"/>
        <v>89.553097161536101</v>
      </c>
      <c r="HV32">
        <f t="shared" si="22"/>
        <v>89.978124947268029</v>
      </c>
      <c r="HW32">
        <f t="shared" si="22"/>
        <v>90.403404024543192</v>
      </c>
      <c r="HX32">
        <f t="shared" si="22"/>
        <v>90.82893568849704</v>
      </c>
      <c r="HY32">
        <f t="shared" si="22"/>
        <v>91.254721236523523</v>
      </c>
      <c r="HZ32">
        <f t="shared" si="22"/>
        <v>91.680761968288081</v>
      </c>
      <c r="IA32">
        <f t="shared" si="22"/>
        <v>92.107059185740809</v>
      </c>
      <c r="IB32">
        <f t="shared" si="22"/>
        <v>92.533614193129253</v>
      </c>
      <c r="IC32">
        <f t="shared" si="22"/>
        <v>92.960428297011518</v>
      </c>
      <c r="ID32">
        <f t="shared" si="22"/>
        <v>93.387502806269509</v>
      </c>
      <c r="IE32">
        <f t="shared" si="20"/>
        <v>93.814839032121782</v>
      </c>
      <c r="IF32">
        <f t="shared" si="20"/>
        <v>94.242438288137095</v>
      </c>
      <c r="IG32">
        <f t="shared" si="20"/>
        <v>94.67030189024716</v>
      </c>
      <c r="IH32">
        <f t="shared" si="20"/>
        <v>95.098431156760327</v>
      </c>
      <c r="II32">
        <f t="shared" si="20"/>
        <v>95.526827408374601</v>
      </c>
      <c r="IJ32">
        <f t="shared" ref="IJ32:KC32" si="23">($E32*TAN(RADIANS(IJ$22)))*$E32*$G32*1000*9.81*(((0.66*($E32/(COS(RADIANS(IJ$22)))))+(0.66*$E32))/2)</f>
        <v>95.955491968191254</v>
      </c>
      <c r="IK32">
        <f t="shared" si="23"/>
        <v>96.384426161727902</v>
      </c>
      <c r="IL32">
        <f t="shared" si="23"/>
        <v>96.81363131693216</v>
      </c>
      <c r="IM32">
        <f t="shared" si="23"/>
        <v>97.2431087641951</v>
      </c>
      <c r="IN32">
        <f t="shared" si="23"/>
        <v>97.672859836364694</v>
      </c>
      <c r="IO32">
        <f t="shared" si="23"/>
        <v>98.102885868759316</v>
      </c>
      <c r="IP32">
        <f t="shared" si="23"/>
        <v>98.533188199181595</v>
      </c>
      <c r="IQ32">
        <f t="shared" si="23"/>
        <v>98.963768167931889</v>
      </c>
      <c r="IR32">
        <f t="shared" si="23"/>
        <v>99.394627117821955</v>
      </c>
      <c r="IS32">
        <f t="shared" si="23"/>
        <v>99.825766394188733</v>
      </c>
      <c r="IT32">
        <f t="shared" si="23"/>
        <v>100.25718734490826</v>
      </c>
      <c r="IU32">
        <f t="shared" si="23"/>
        <v>100.68889132040935</v>
      </c>
      <c r="IV32">
        <f t="shared" si="23"/>
        <v>101.1208796736875</v>
      </c>
      <c r="IW32">
        <f t="shared" si="23"/>
        <v>101.55315376031886</v>
      </c>
      <c r="IX32">
        <f t="shared" si="23"/>
        <v>101.98571493847427</v>
      </c>
      <c r="IY32">
        <f t="shared" si="23"/>
        <v>102.41856456893315</v>
      </c>
      <c r="IZ32">
        <f t="shared" si="23"/>
        <v>102.8517040150976</v>
      </c>
      <c r="JA32">
        <f t="shared" si="23"/>
        <v>103.28513464300661</v>
      </c>
      <c r="JB32">
        <f t="shared" si="23"/>
        <v>103.71885782135011</v>
      </c>
      <c r="JC32">
        <f t="shared" si="23"/>
        <v>104.15287492148325</v>
      </c>
      <c r="JD32">
        <f t="shared" si="23"/>
        <v>104.58718731744075</v>
      </c>
      <c r="JE32">
        <f t="shared" si="23"/>
        <v>105.02179638595094</v>
      </c>
      <c r="JF32">
        <f t="shared" si="23"/>
        <v>105.45670350645041</v>
      </c>
      <c r="JG32">
        <f t="shared" si="23"/>
        <v>105.8919100610983</v>
      </c>
      <c r="JH32">
        <f t="shared" si="23"/>
        <v>106.32741743479075</v>
      </c>
      <c r="JI32">
        <f t="shared" si="23"/>
        <v>106.76322701517543</v>
      </c>
      <c r="JJ32">
        <f t="shared" si="23"/>
        <v>107.19934019266607</v>
      </c>
      <c r="JK32">
        <f t="shared" si="23"/>
        <v>107.6357583604571</v>
      </c>
      <c r="JL32">
        <f t="shared" si="23"/>
        <v>108.07248291453843</v>
      </c>
      <c r="JM32">
        <f t="shared" si="23"/>
        <v>108.50951525370981</v>
      </c>
      <c r="JN32">
        <f t="shared" si="23"/>
        <v>108.94685677959605</v>
      </c>
      <c r="JO32">
        <f t="shared" si="23"/>
        <v>109.38450889666159</v>
      </c>
      <c r="JP32">
        <f t="shared" si="23"/>
        <v>109.82247301222525</v>
      </c>
      <c r="JQ32">
        <f t="shared" si="23"/>
        <v>110.26075053647546</v>
      </c>
      <c r="JR32">
        <f t="shared" si="23"/>
        <v>110.69934288248501</v>
      </c>
      <c r="JS32">
        <f t="shared" si="23"/>
        <v>111.13825146622617</v>
      </c>
      <c r="JT32">
        <f t="shared" si="23"/>
        <v>111.57747770658574</v>
      </c>
      <c r="JU32">
        <f t="shared" si="23"/>
        <v>112.01702302538021</v>
      </c>
      <c r="JV32">
        <f t="shared" si="23"/>
        <v>112.45688884737089</v>
      </c>
      <c r="JW32">
        <f t="shared" si="23"/>
        <v>112.89707660027932</v>
      </c>
      <c r="JX32">
        <f t="shared" si="23"/>
        <v>113.33758771480234</v>
      </c>
      <c r="JY32">
        <f t="shared" si="23"/>
        <v>113.77842362462755</v>
      </c>
      <c r="JZ32">
        <f t="shared" si="23"/>
        <v>114.21958576644877</v>
      </c>
      <c r="KA32">
        <f t="shared" si="23"/>
        <v>114.66107557998157</v>
      </c>
      <c r="KB32">
        <f t="shared" si="23"/>
        <v>115.1028945079785</v>
      </c>
      <c r="KC32">
        <f t="shared" si="23"/>
        <v>115.54504399624504</v>
      </c>
    </row>
    <row r="36" spans="2:612" x14ac:dyDescent="0.25">
      <c r="G36">
        <f>SUM(G23:G32)</f>
        <v>7.9999999999999991</v>
      </c>
      <c r="J36">
        <f>SUM(J23:J32)</f>
        <v>6.4379740941252592</v>
      </c>
      <c r="K36">
        <f t="shared" ref="K36:BV36" si="24">SUM(K23:K32)</f>
        <v>12.875965348070579</v>
      </c>
      <c r="L36">
        <f t="shared" si="24"/>
        <v>19.313990921799782</v>
      </c>
      <c r="M36">
        <f t="shared" si="24"/>
        <v>25.752067975564167</v>
      </c>
      <c r="N36">
        <f t="shared" si="24"/>
        <v>32.190213670046305</v>
      </c>
      <c r="O36">
        <f t="shared" si="24"/>
        <v>38.628445166503781</v>
      </c>
      <c r="P36">
        <f t="shared" si="24"/>
        <v>45.066779626912925</v>
      </c>
      <c r="Q36">
        <f t="shared" si="24"/>
        <v>51.505234214112747</v>
      </c>
      <c r="R36">
        <f t="shared" si="24"/>
        <v>57.943826091948466</v>
      </c>
      <c r="S36">
        <f t="shared" si="24"/>
        <v>64.382572425415617</v>
      </c>
      <c r="T36">
        <f t="shared" si="24"/>
        <v>70.821490380803709</v>
      </c>
      <c r="U36">
        <f t="shared" si="24"/>
        <v>77.26059712584005</v>
      </c>
      <c r="V36">
        <f t="shared" si="24"/>
        <v>83.699909829833828</v>
      </c>
      <c r="W36">
        <f t="shared" si="24"/>
        <v>90.139445663819743</v>
      </c>
      <c r="X36">
        <f t="shared" si="24"/>
        <v>96.579221800702186</v>
      </c>
      <c r="Y36">
        <f t="shared" si="24"/>
        <v>103.01925541539902</v>
      </c>
      <c r="Z36">
        <f t="shared" si="24"/>
        <v>109.45956368498561</v>
      </c>
      <c r="AA36">
        <f t="shared" si="24"/>
        <v>115.90016378883908</v>
      </c>
      <c r="AB36">
        <f t="shared" si="24"/>
        <v>122.34107290878194</v>
      </c>
      <c r="AC36">
        <f t="shared" si="24"/>
        <v>128.78230822922666</v>
      </c>
      <c r="AD36">
        <f t="shared" si="24"/>
        <v>135.22388693731949</v>
      </c>
      <c r="AE36">
        <f t="shared" si="24"/>
        <v>141.66582622308476</v>
      </c>
      <c r="AF36">
        <f t="shared" si="24"/>
        <v>148.10814327956919</v>
      </c>
      <c r="AG36">
        <f t="shared" si="24"/>
        <v>154.55085530298612</v>
      </c>
      <c r="AH36">
        <f t="shared" si="24"/>
        <v>160.99397949285992</v>
      </c>
      <c r="AI36">
        <f t="shared" si="24"/>
        <v>167.43753305217021</v>
      </c>
      <c r="AJ36">
        <f t="shared" si="24"/>
        <v>173.8815331874965</v>
      </c>
      <c r="AK36">
        <f t="shared" si="24"/>
        <v>180.32599710916267</v>
      </c>
      <c r="AL36">
        <f t="shared" si="24"/>
        <v>186.77094203138148</v>
      </c>
      <c r="AM36">
        <f t="shared" si="24"/>
        <v>193.21638517239927</v>
      </c>
      <c r="AN36">
        <f t="shared" si="24"/>
        <v>199.6623437546406</v>
      </c>
      <c r="AO36">
        <f t="shared" si="24"/>
        <v>206.1088350048532</v>
      </c>
      <c r="AP36">
        <f t="shared" si="24"/>
        <v>212.55587615425253</v>
      </c>
      <c r="AQ36">
        <f t="shared" si="24"/>
        <v>219.00348443866687</v>
      </c>
      <c r="AR36">
        <f t="shared" si="24"/>
        <v>225.45167709868247</v>
      </c>
      <c r="AS36">
        <f t="shared" si="24"/>
        <v>231.90047137978826</v>
      </c>
      <c r="AT36">
        <f t="shared" si="24"/>
        <v>238.34988453252123</v>
      </c>
      <c r="AU36">
        <f t="shared" si="24"/>
        <v>244.79993381261167</v>
      </c>
      <c r="AV36">
        <f t="shared" si="24"/>
        <v>251.25063648112859</v>
      </c>
      <c r="AW36">
        <f t="shared" si="24"/>
        <v>257.70200980462471</v>
      </c>
      <c r="AX36">
        <f t="shared" si="24"/>
        <v>264.15407105528232</v>
      </c>
      <c r="AY36">
        <f t="shared" si="24"/>
        <v>270.60683751105921</v>
      </c>
      <c r="AZ36">
        <f t="shared" si="24"/>
        <v>277.06032645583315</v>
      </c>
      <c r="BA36">
        <f t="shared" si="24"/>
        <v>283.51455517954923</v>
      </c>
      <c r="BB36">
        <f t="shared" si="24"/>
        <v>289.96954097836442</v>
      </c>
      <c r="BC36">
        <f t="shared" si="24"/>
        <v>296.42530115479451</v>
      </c>
      <c r="BD36">
        <f t="shared" si="24"/>
        <v>302.8818530178595</v>
      </c>
      <c r="BE36">
        <f t="shared" si="24"/>
        <v>309.3392138832304</v>
      </c>
      <c r="BF36">
        <f t="shared" si="24"/>
        <v>315.79740107337511</v>
      </c>
      <c r="BG36">
        <f t="shared" si="24"/>
        <v>322.25643191770467</v>
      </c>
      <c r="BH36">
        <f t="shared" si="24"/>
        <v>328.71632375272054</v>
      </c>
      <c r="BI36">
        <f t="shared" si="24"/>
        <v>335.17709392216068</v>
      </c>
      <c r="BJ36">
        <f t="shared" si="24"/>
        <v>341.63875977714639</v>
      </c>
      <c r="BK36">
        <f t="shared" si="24"/>
        <v>348.10133867632908</v>
      </c>
      <c r="BL36">
        <f t="shared" si="24"/>
        <v>354.56484798603765</v>
      </c>
      <c r="BM36">
        <f t="shared" si="24"/>
        <v>361.02930508042556</v>
      </c>
      <c r="BN36">
        <f t="shared" si="24"/>
        <v>367.49472734161782</v>
      </c>
      <c r="BO36">
        <f t="shared" si="24"/>
        <v>373.96113215985821</v>
      </c>
      <c r="BP36">
        <f t="shared" si="24"/>
        <v>380.42853693365777</v>
      </c>
      <c r="BQ36">
        <f t="shared" si="24"/>
        <v>386.89695906994143</v>
      </c>
      <c r="BR36">
        <f t="shared" si="24"/>
        <v>393.36641598419652</v>
      </c>
      <c r="BS36">
        <f t="shared" si="24"/>
        <v>399.83692510062014</v>
      </c>
      <c r="BT36">
        <f t="shared" si="24"/>
        <v>406.30850385226762</v>
      </c>
      <c r="BU36">
        <f t="shared" si="24"/>
        <v>412.78116968120116</v>
      </c>
      <c r="BV36">
        <f t="shared" si="24"/>
        <v>419.25494003863707</v>
      </c>
      <c r="BW36">
        <f t="shared" ref="BW36:DE36" si="25">SUM(BW23:BW32)</f>
        <v>425.72983238509528</v>
      </c>
      <c r="BX36">
        <f t="shared" si="25"/>
        <v>432.20586419054786</v>
      </c>
      <c r="BY36">
        <f t="shared" si="25"/>
        <v>438.68305293456763</v>
      </c>
      <c r="BZ36">
        <f t="shared" si="25"/>
        <v>445.16141610647747</v>
      </c>
      <c r="CA36">
        <f t="shared" si="25"/>
        <v>451.64097120549906</v>
      </c>
      <c r="CB36">
        <f t="shared" si="25"/>
        <v>458.12173574090247</v>
      </c>
      <c r="CC36">
        <f t="shared" si="25"/>
        <v>464.60372723215607</v>
      </c>
      <c r="CD36">
        <f t="shared" si="25"/>
        <v>471.08696320907524</v>
      </c>
      <c r="CE36">
        <f t="shared" si="25"/>
        <v>477.5714612119732</v>
      </c>
      <c r="CF36">
        <f t="shared" si="25"/>
        <v>484.05723879181011</v>
      </c>
      <c r="CG36">
        <f t="shared" si="25"/>
        <v>490.54431351034447</v>
      </c>
      <c r="CH36">
        <f t="shared" si="25"/>
        <v>497.03270294028187</v>
      </c>
      <c r="CI36">
        <f t="shared" si="25"/>
        <v>503.52242466542691</v>
      </c>
      <c r="CJ36">
        <f t="shared" si="25"/>
        <v>510.01349628083358</v>
      </c>
      <c r="CK36">
        <f t="shared" si="25"/>
        <v>516.50593539295551</v>
      </c>
      <c r="CL36">
        <f t="shared" si="25"/>
        <v>522.99975961979783</v>
      </c>
      <c r="CM36">
        <f t="shared" si="25"/>
        <v>529.49498659106825</v>
      </c>
      <c r="CN36">
        <f t="shared" si="25"/>
        <v>535.99163394832919</v>
      </c>
      <c r="CO36">
        <f t="shared" si="25"/>
        <v>542.48971934514748</v>
      </c>
      <c r="CP36">
        <f t="shared" si="25"/>
        <v>548.98926044724863</v>
      </c>
      <c r="CQ36">
        <f t="shared" si="25"/>
        <v>555.49027493266738</v>
      </c>
      <c r="CR36">
        <f t="shared" si="25"/>
        <v>561.99278049190082</v>
      </c>
      <c r="CS36">
        <f t="shared" si="25"/>
        <v>568.49679482806039</v>
      </c>
      <c r="CT36">
        <f t="shared" si="25"/>
        <v>575.00233565702445</v>
      </c>
      <c r="CU36">
        <f t="shared" si="25"/>
        <v>581.5094207075922</v>
      </c>
      <c r="CV36">
        <f t="shared" si="25"/>
        <v>588.0180677216357</v>
      </c>
      <c r="CW36">
        <f t="shared" si="25"/>
        <v>594.52829445425346</v>
      </c>
      <c r="CX36">
        <f t="shared" si="25"/>
        <v>601.04011867392467</v>
      </c>
      <c r="CY36">
        <f t="shared" si="25"/>
        <v>607.55355816266217</v>
      </c>
      <c r="CZ36">
        <f t="shared" si="25"/>
        <v>614.06863071616726</v>
      </c>
      <c r="DA36">
        <f t="shared" si="25"/>
        <v>620.58535414398216</v>
      </c>
      <c r="DB36">
        <f t="shared" si="25"/>
        <v>627.10374626964847</v>
      </c>
      <c r="DC36">
        <f t="shared" si="25"/>
        <v>633.62382493085704</v>
      </c>
      <c r="DD36">
        <f t="shared" si="25"/>
        <v>640.14560797960507</v>
      </c>
      <c r="DE36">
        <f t="shared" si="25"/>
        <v>646.6691132823529</v>
      </c>
      <c r="DF36">
        <f t="shared" ref="DF36:FQ36" si="26">SUM(DF23:DF32)</f>
        <v>653.19435872017709</v>
      </c>
      <c r="DG36">
        <f t="shared" si="26"/>
        <v>659.72136218892672</v>
      </c>
      <c r="DH36">
        <f t="shared" si="26"/>
        <v>666.25014159937928</v>
      </c>
      <c r="DI36">
        <f t="shared" si="26"/>
        <v>672.78071487739817</v>
      </c>
      <c r="DJ36">
        <f t="shared" si="26"/>
        <v>679.31309996408686</v>
      </c>
      <c r="DK36">
        <f t="shared" si="26"/>
        <v>685.84731481594713</v>
      </c>
      <c r="DL36">
        <f t="shared" si="26"/>
        <v>692.38337740503562</v>
      </c>
      <c r="DM36">
        <f t="shared" si="26"/>
        <v>698.92130571912116</v>
      </c>
      <c r="DN36">
        <f t="shared" si="26"/>
        <v>705.46111776184125</v>
      </c>
      <c r="DO36">
        <f t="shared" si="26"/>
        <v>712.00283155286093</v>
      </c>
      <c r="DP36">
        <f t="shared" si="26"/>
        <v>718.54646512803106</v>
      </c>
      <c r="DQ36">
        <f t="shared" si="26"/>
        <v>725.09203653954501</v>
      </c>
      <c r="DR36">
        <f t="shared" si="26"/>
        <v>731.63956385609879</v>
      </c>
      <c r="DS36">
        <f t="shared" si="26"/>
        <v>738.18906516304844</v>
      </c>
      <c r="DT36">
        <f t="shared" si="26"/>
        <v>744.74055856257007</v>
      </c>
      <c r="DU36">
        <f t="shared" si="26"/>
        <v>751.29406217381938</v>
      </c>
      <c r="DV36">
        <f t="shared" si="26"/>
        <v>757.84959413309048</v>
      </c>
      <c r="DW36">
        <f t="shared" si="26"/>
        <v>764.40717259397661</v>
      </c>
      <c r="DX36">
        <f t="shared" si="26"/>
        <v>770.96681572752948</v>
      </c>
      <c r="DY36">
        <f t="shared" si="26"/>
        <v>777.52854172242087</v>
      </c>
      <c r="DZ36">
        <f t="shared" si="26"/>
        <v>784.09236878510251</v>
      </c>
      <c r="EA36">
        <f t="shared" si="26"/>
        <v>790.65831513996795</v>
      </c>
      <c r="EB36">
        <f t="shared" si="26"/>
        <v>797.22639902951369</v>
      </c>
      <c r="EC36">
        <f t="shared" si="26"/>
        <v>803.79663871449998</v>
      </c>
      <c r="ED36">
        <f t="shared" si="26"/>
        <v>810.3690524741146</v>
      </c>
      <c r="EE36">
        <f t="shared" si="26"/>
        <v>816.94365860613402</v>
      </c>
      <c r="EF36">
        <f t="shared" si="26"/>
        <v>823.52047542708658</v>
      </c>
      <c r="EG36">
        <f t="shared" si="26"/>
        <v>830.09952127241331</v>
      </c>
      <c r="EH36">
        <f t="shared" si="26"/>
        <v>836.68081449663771</v>
      </c>
      <c r="EI36">
        <f t="shared" si="26"/>
        <v>843.26437347351987</v>
      </c>
      <c r="EJ36">
        <f t="shared" si="26"/>
        <v>849.85021659622817</v>
      </c>
      <c r="EK36">
        <f t="shared" si="26"/>
        <v>856.43836227749921</v>
      </c>
      <c r="EL36">
        <f t="shared" si="26"/>
        <v>863.02882894980405</v>
      </c>
      <c r="EM36">
        <f t="shared" si="26"/>
        <v>869.62163506551406</v>
      </c>
      <c r="EN36">
        <f t="shared" si="26"/>
        <v>876.21679909706359</v>
      </c>
      <c r="EO36">
        <f t="shared" si="26"/>
        <v>882.81433953711792</v>
      </c>
      <c r="EP36">
        <f t="shared" si="26"/>
        <v>889.41427489873854</v>
      </c>
      <c r="EQ36">
        <f t="shared" si="26"/>
        <v>896.01662371554812</v>
      </c>
      <c r="ER36">
        <f t="shared" si="26"/>
        <v>902.62140454189955</v>
      </c>
      <c r="ES36">
        <f t="shared" si="26"/>
        <v>909.22863595304034</v>
      </c>
      <c r="ET36">
        <f t="shared" si="26"/>
        <v>915.83833654528223</v>
      </c>
      <c r="EU36">
        <f t="shared" si="26"/>
        <v>922.4505249361672</v>
      </c>
      <c r="EV36">
        <f t="shared" si="26"/>
        <v>929.06521976463648</v>
      </c>
      <c r="EW36">
        <f t="shared" si="26"/>
        <v>935.68243969119908</v>
      </c>
      <c r="EX36">
        <f t="shared" si="26"/>
        <v>942.30220339809966</v>
      </c>
      <c r="EY36">
        <f t="shared" si="26"/>
        <v>948.92452958948763</v>
      </c>
      <c r="EZ36">
        <f t="shared" si="26"/>
        <v>955.549436991589</v>
      </c>
      <c r="FA36">
        <f t="shared" si="26"/>
        <v>962.17694435287274</v>
      </c>
      <c r="FB36">
        <f t="shared" si="26"/>
        <v>968.807070444224</v>
      </c>
      <c r="FC36">
        <f t="shared" si="26"/>
        <v>975.43983405911285</v>
      </c>
      <c r="FD36">
        <f t="shared" si="26"/>
        <v>982.07525401376654</v>
      </c>
      <c r="FE36">
        <f t="shared" si="26"/>
        <v>988.7133491473403</v>
      </c>
      <c r="FF36">
        <f t="shared" si="26"/>
        <v>995.35413832208974</v>
      </c>
      <c r="FG36">
        <f t="shared" si="26"/>
        <v>1001.9976404235417</v>
      </c>
      <c r="FH36">
        <f t="shared" si="26"/>
        <v>1008.6438743606692</v>
      </c>
      <c r="FI36">
        <f t="shared" si="26"/>
        <v>1015.292859066062</v>
      </c>
      <c r="FJ36">
        <f t="shared" si="26"/>
        <v>1021.9446134961011</v>
      </c>
      <c r="FK36">
        <f t="shared" si="26"/>
        <v>1028.5991566311329</v>
      </c>
      <c r="FL36">
        <f t="shared" si="26"/>
        <v>1035.2565074756435</v>
      </c>
      <c r="FM36">
        <f t="shared" si="26"/>
        <v>1041.9166850584327</v>
      </c>
      <c r="FN36">
        <f t="shared" si="26"/>
        <v>1048.5797084327883</v>
      </c>
      <c r="FO36">
        <f t="shared" si="26"/>
        <v>1055.245596676664</v>
      </c>
      <c r="FP36">
        <f t="shared" si="26"/>
        <v>1061.9143688928521</v>
      </c>
      <c r="FQ36">
        <f t="shared" si="26"/>
        <v>1068.5860442091641</v>
      </c>
      <c r="FR36">
        <f t="shared" ref="FR36:IC36" si="27">SUM(FR23:FR32)</f>
        <v>1075.2606417786028</v>
      </c>
      <c r="FS36">
        <f t="shared" si="27"/>
        <v>1081.9381807795426</v>
      </c>
      <c r="FT36">
        <f t="shared" si="27"/>
        <v>1088.6186804159058</v>
      </c>
      <c r="FU36">
        <f t="shared" si="27"/>
        <v>1095.3021599173412</v>
      </c>
      <c r="FV36">
        <f t="shared" si="27"/>
        <v>1101.9886385394029</v>
      </c>
      <c r="FW36">
        <f t="shared" si="27"/>
        <v>1108.678135563727</v>
      </c>
      <c r="FX36">
        <f t="shared" si="27"/>
        <v>1115.3706702982154</v>
      </c>
      <c r="FY36">
        <f t="shared" si="27"/>
        <v>1122.0662620772111</v>
      </c>
      <c r="FZ36">
        <f t="shared" si="27"/>
        <v>1128.7649302616812</v>
      </c>
      <c r="GA36">
        <f t="shared" si="27"/>
        <v>1135.4666942393965</v>
      </c>
      <c r="GB36">
        <f t="shared" si="27"/>
        <v>1142.1715734251138</v>
      </c>
      <c r="GC36">
        <f t="shared" si="27"/>
        <v>1148.8795872607554</v>
      </c>
      <c r="GD36">
        <f t="shared" si="27"/>
        <v>1155.5907552155952</v>
      </c>
      <c r="GE36">
        <f t="shared" si="27"/>
        <v>1162.3050967864367</v>
      </c>
      <c r="GF36">
        <f t="shared" si="27"/>
        <v>1169.0226314977997</v>
      </c>
      <c r="GG36">
        <f t="shared" si="27"/>
        <v>1175.7433789021009</v>
      </c>
      <c r="GH36">
        <f t="shared" si="27"/>
        <v>1182.4673585798419</v>
      </c>
      <c r="GI36">
        <f t="shared" si="27"/>
        <v>1189.1945901397892</v>
      </c>
      <c r="GJ36">
        <f t="shared" si="27"/>
        <v>1195.9250932191637</v>
      </c>
      <c r="GK36">
        <f t="shared" si="27"/>
        <v>1202.6588874838196</v>
      </c>
      <c r="GL36">
        <f t="shared" si="27"/>
        <v>1209.3959926284435</v>
      </c>
      <c r="GM36">
        <f t="shared" si="27"/>
        <v>1216.1364283767225</v>
      </c>
      <c r="GN36">
        <f t="shared" si="27"/>
        <v>1222.8802144815475</v>
      </c>
      <c r="GO36">
        <f t="shared" si="27"/>
        <v>1229.627370725191</v>
      </c>
      <c r="GP36">
        <f t="shared" si="27"/>
        <v>1236.3779169195002</v>
      </c>
      <c r="GQ36">
        <f t="shared" si="27"/>
        <v>1243.1318729060833</v>
      </c>
      <c r="GR36">
        <f t="shared" si="27"/>
        <v>1249.889258556499</v>
      </c>
      <c r="GS36">
        <f t="shared" si="27"/>
        <v>1256.6500937724466</v>
      </c>
      <c r="GT36">
        <f t="shared" si="27"/>
        <v>1263.4143984859552</v>
      </c>
      <c r="GU36">
        <f t="shared" si="27"/>
        <v>1270.1821926595749</v>
      </c>
      <c r="GV36">
        <f t="shared" si="27"/>
        <v>1276.9534962865682</v>
      </c>
      <c r="GW36">
        <f t="shared" si="27"/>
        <v>1283.7283293911028</v>
      </c>
      <c r="GX36">
        <f t="shared" si="27"/>
        <v>1290.5067120284411</v>
      </c>
      <c r="GY36">
        <f t="shared" si="27"/>
        <v>1297.2886642851349</v>
      </c>
      <c r="GZ36">
        <f t="shared" si="27"/>
        <v>1304.0742062792187</v>
      </c>
      <c r="HA36">
        <f t="shared" si="27"/>
        <v>1310.8633581604031</v>
      </c>
      <c r="HB36">
        <f t="shared" si="27"/>
        <v>1317.6561401102731</v>
      </c>
      <c r="HC36">
        <f t="shared" si="27"/>
        <v>1324.4525723424692</v>
      </c>
      <c r="HD36">
        <f t="shared" si="27"/>
        <v>1331.252675102905</v>
      </c>
      <c r="HE36">
        <f t="shared" si="27"/>
        <v>1338.0564686699458</v>
      </c>
      <c r="HF36">
        <f t="shared" si="27"/>
        <v>1344.8639733546133</v>
      </c>
      <c r="HG36">
        <f t="shared" si="27"/>
        <v>1351.6752095007798</v>
      </c>
      <c r="HH36">
        <f t="shared" si="27"/>
        <v>1358.4901974853678</v>
      </c>
      <c r="HI36">
        <f t="shared" si="27"/>
        <v>1365.3089577185472</v>
      </c>
      <c r="HJ36">
        <f t="shared" si="27"/>
        <v>1372.1315106439351</v>
      </c>
      <c r="HK36">
        <f t="shared" si="27"/>
        <v>1378.9578767387964</v>
      </c>
      <c r="HL36">
        <f t="shared" si="27"/>
        <v>1385.7880765142411</v>
      </c>
      <c r="HM36">
        <f t="shared" si="27"/>
        <v>1392.6221305154279</v>
      </c>
      <c r="HN36">
        <f t="shared" si="27"/>
        <v>1399.460059321766</v>
      </c>
      <c r="HO36">
        <f t="shared" si="27"/>
        <v>1406.3018835471144</v>
      </c>
      <c r="HP36">
        <f t="shared" si="27"/>
        <v>1413.1476238399857</v>
      </c>
      <c r="HQ36">
        <f t="shared" si="27"/>
        <v>1419.9973008837508</v>
      </c>
      <c r="HR36">
        <f t="shared" si="27"/>
        <v>1426.8509353968407</v>
      </c>
      <c r="HS36">
        <f t="shared" si="27"/>
        <v>1433.7085481329534</v>
      </c>
      <c r="HT36">
        <f t="shared" si="27"/>
        <v>1440.5701598812552</v>
      </c>
      <c r="HU36">
        <f t="shared" si="27"/>
        <v>1447.4357914665911</v>
      </c>
      <c r="HV36">
        <f t="shared" si="27"/>
        <v>1454.3054637496891</v>
      </c>
      <c r="HW36">
        <f t="shared" si="27"/>
        <v>1461.1791976273644</v>
      </c>
      <c r="HX36">
        <f t="shared" si="27"/>
        <v>1468.057014032732</v>
      </c>
      <c r="HY36">
        <f t="shared" si="27"/>
        <v>1474.9389339354134</v>
      </c>
      <c r="HZ36">
        <f t="shared" si="27"/>
        <v>1481.8249783417425</v>
      </c>
      <c r="IA36">
        <f t="shared" si="27"/>
        <v>1488.7151682949798</v>
      </c>
      <c r="IB36">
        <f t="shared" si="27"/>
        <v>1495.6095248755191</v>
      </c>
      <c r="IC36">
        <f t="shared" si="27"/>
        <v>1502.5080692011002</v>
      </c>
      <c r="ID36">
        <f t="shared" ref="ID36:KC36" si="28">SUM(ID23:ID32)</f>
        <v>1509.4108224270219</v>
      </c>
      <c r="IE36">
        <f t="shared" si="28"/>
        <v>1516.3178057463499</v>
      </c>
      <c r="IF36">
        <f t="shared" si="28"/>
        <v>1523.2290403901343</v>
      </c>
      <c r="IG36">
        <f t="shared" si="28"/>
        <v>1530.1445476276203</v>
      </c>
      <c r="IH36">
        <f t="shared" si="28"/>
        <v>1537.0643487664659</v>
      </c>
      <c r="II36">
        <f t="shared" si="28"/>
        <v>1543.9884651529505</v>
      </c>
      <c r="IJ36">
        <f t="shared" si="28"/>
        <v>1550.9169181721984</v>
      </c>
      <c r="IK36">
        <f t="shared" si="28"/>
        <v>1557.8497292483908</v>
      </c>
      <c r="IL36">
        <f t="shared" si="28"/>
        <v>1564.7869198449816</v>
      </c>
      <c r="IM36">
        <f t="shared" si="28"/>
        <v>1571.728511464921</v>
      </c>
      <c r="IN36">
        <f t="shared" si="28"/>
        <v>1578.6745256508659</v>
      </c>
      <c r="IO36">
        <f t="shared" si="28"/>
        <v>1585.6249839854074</v>
      </c>
      <c r="IP36">
        <f t="shared" si="28"/>
        <v>1592.5799080912846</v>
      </c>
      <c r="IQ36">
        <f t="shared" si="28"/>
        <v>1599.5393196316077</v>
      </c>
      <c r="IR36">
        <f t="shared" si="28"/>
        <v>1606.5032403100818</v>
      </c>
      <c r="IS36">
        <f t="shared" si="28"/>
        <v>1613.4716918712222</v>
      </c>
      <c r="IT36">
        <f t="shared" si="28"/>
        <v>1620.4446961005856</v>
      </c>
      <c r="IU36">
        <f t="shared" si="28"/>
        <v>1627.4222748249881</v>
      </c>
      <c r="IV36">
        <f t="shared" si="28"/>
        <v>1634.404449912731</v>
      </c>
      <c r="IW36">
        <f t="shared" si="28"/>
        <v>1641.3912432738268</v>
      </c>
      <c r="IX36">
        <f t="shared" si="28"/>
        <v>1648.3826768602248</v>
      </c>
      <c r="IY36">
        <f t="shared" si="28"/>
        <v>1655.3787726660362</v>
      </c>
      <c r="IZ36">
        <f t="shared" si="28"/>
        <v>1662.3795527277639</v>
      </c>
      <c r="JA36">
        <f t="shared" si="28"/>
        <v>1669.3850391245292</v>
      </c>
      <c r="JB36">
        <f t="shared" si="28"/>
        <v>1676.3952539783008</v>
      </c>
      <c r="JC36">
        <f t="shared" si="28"/>
        <v>1683.410219454124</v>
      </c>
      <c r="JD36">
        <f t="shared" si="28"/>
        <v>1690.4299577603551</v>
      </c>
      <c r="JE36">
        <f t="shared" si="28"/>
        <v>1697.4544911488865</v>
      </c>
      <c r="JF36">
        <f t="shared" si="28"/>
        <v>1704.4838419153839</v>
      </c>
      <c r="JG36">
        <f t="shared" si="28"/>
        <v>1711.518032399516</v>
      </c>
      <c r="JH36">
        <f t="shared" si="28"/>
        <v>1718.5570849851899</v>
      </c>
      <c r="JI36">
        <f t="shared" si="28"/>
        <v>1725.6010221007873</v>
      </c>
      <c r="JJ36">
        <f t="shared" si="28"/>
        <v>1732.6498662193947</v>
      </c>
      <c r="JK36">
        <f t="shared" si="28"/>
        <v>1739.7036398590444</v>
      </c>
      <c r="JL36">
        <f t="shared" si="28"/>
        <v>1746.7623655829505</v>
      </c>
      <c r="JM36">
        <f t="shared" si="28"/>
        <v>1753.8260659997434</v>
      </c>
      <c r="JN36">
        <f t="shared" si="28"/>
        <v>1760.8947637637134</v>
      </c>
      <c r="JO36">
        <f t="shared" si="28"/>
        <v>1767.9684815750484</v>
      </c>
      <c r="JP36">
        <f t="shared" si="28"/>
        <v>1775.047242180071</v>
      </c>
      <c r="JQ36">
        <f t="shared" si="28"/>
        <v>1782.1310683714846</v>
      </c>
      <c r="JR36">
        <f t="shared" si="28"/>
        <v>1789.2199829886133</v>
      </c>
      <c r="JS36">
        <f t="shared" si="28"/>
        <v>1796.3140089176429</v>
      </c>
      <c r="JT36">
        <f t="shared" si="28"/>
        <v>1803.4131690918693</v>
      </c>
      <c r="JU36">
        <f t="shared" si="28"/>
        <v>1810.517486491937</v>
      </c>
      <c r="JV36">
        <f t="shared" si="28"/>
        <v>1817.6269841460919</v>
      </c>
      <c r="JW36">
        <f t="shared" si="28"/>
        <v>1824.7416851304206</v>
      </c>
      <c r="JX36">
        <f t="shared" si="28"/>
        <v>1831.8616125691028</v>
      </c>
      <c r="JY36">
        <f t="shared" si="28"/>
        <v>1838.9867896346575</v>
      </c>
      <c r="JZ36">
        <f t="shared" si="28"/>
        <v>1846.117239548191</v>
      </c>
      <c r="KA36">
        <f t="shared" si="28"/>
        <v>1853.2529855796502</v>
      </c>
      <c r="KB36">
        <f t="shared" si="28"/>
        <v>1860.3940510480686</v>
      </c>
      <c r="KC36">
        <f t="shared" si="28"/>
        <v>1867.5404593218238</v>
      </c>
    </row>
    <row r="37" spans="2:612" x14ac:dyDescent="0.25">
      <c r="K37">
        <f>K36-J36</f>
        <v>6.4379912539453201</v>
      </c>
      <c r="L37">
        <f t="shared" ref="L37:S37" si="29">L36-K36</f>
        <v>6.4380255737292025</v>
      </c>
      <c r="M37">
        <f t="shared" si="29"/>
        <v>6.4380770537643848</v>
      </c>
      <c r="N37">
        <f t="shared" si="29"/>
        <v>6.438145694482138</v>
      </c>
      <c r="O37">
        <f t="shared" si="29"/>
        <v>6.4382314964574761</v>
      </c>
      <c r="P37">
        <f t="shared" si="29"/>
        <v>6.4383344604091448</v>
      </c>
      <c r="Q37">
        <f t="shared" si="29"/>
        <v>6.4384545871998213</v>
      </c>
      <c r="R37">
        <f t="shared" si="29"/>
        <v>6.4385918778357194</v>
      </c>
      <c r="S37">
        <f t="shared" si="29"/>
        <v>6.4387463334671509</v>
      </c>
      <c r="T37">
        <f t="shared" ref="T37:CE37" si="30">T36-S36</f>
        <v>6.4389179553880922</v>
      </c>
      <c r="U37">
        <f t="shared" si="30"/>
        <v>6.4391067450363408</v>
      </c>
      <c r="V37">
        <f t="shared" si="30"/>
        <v>6.4393127039937781</v>
      </c>
      <c r="W37">
        <f t="shared" si="30"/>
        <v>6.4395358339859143</v>
      </c>
      <c r="X37">
        <f t="shared" si="30"/>
        <v>6.4397761368824433</v>
      </c>
      <c r="Y37">
        <f t="shared" si="30"/>
        <v>6.44003361469683</v>
      </c>
      <c r="Z37">
        <f t="shared" si="30"/>
        <v>6.4403082695865947</v>
      </c>
      <c r="AA37">
        <f t="shared" si="30"/>
        <v>6.4406001038534697</v>
      </c>
      <c r="AB37">
        <f t="shared" si="30"/>
        <v>6.4409091199428588</v>
      </c>
      <c r="AC37">
        <f t="shared" si="30"/>
        <v>6.4412353204447186</v>
      </c>
      <c r="AD37">
        <f t="shared" si="30"/>
        <v>6.4415787080928339</v>
      </c>
      <c r="AE37">
        <f t="shared" si="30"/>
        <v>6.4419392857652724</v>
      </c>
      <c r="AF37">
        <f t="shared" si="30"/>
        <v>6.442317056484427</v>
      </c>
      <c r="AG37">
        <f t="shared" si="30"/>
        <v>6.4427120234169308</v>
      </c>
      <c r="AH37">
        <f t="shared" si="30"/>
        <v>6.4431241898737994</v>
      </c>
      <c r="AI37">
        <f t="shared" si="30"/>
        <v>6.4435535593102884</v>
      </c>
      <c r="AJ37">
        <f t="shared" si="30"/>
        <v>6.4440001353262915</v>
      </c>
      <c r="AK37">
        <f t="shared" si="30"/>
        <v>6.4444639216661699</v>
      </c>
      <c r="AL37">
        <f t="shared" si="30"/>
        <v>6.4449449222188093</v>
      </c>
      <c r="AM37">
        <f t="shared" si="30"/>
        <v>6.4454431410177904</v>
      </c>
      <c r="AN37">
        <f t="shared" si="30"/>
        <v>6.4459585822413317</v>
      </c>
      <c r="AO37">
        <f t="shared" si="30"/>
        <v>6.4464912502126026</v>
      </c>
      <c r="AP37">
        <f t="shared" si="30"/>
        <v>6.4470411493993254</v>
      </c>
      <c r="AQ37">
        <f t="shared" si="30"/>
        <v>6.4476082844143434</v>
      </c>
      <c r="AR37">
        <f t="shared" si="30"/>
        <v>6.448192660015593</v>
      </c>
      <c r="AS37">
        <f t="shared" si="30"/>
        <v>6.4487942811057906</v>
      </c>
      <c r="AT37">
        <f t="shared" si="30"/>
        <v>6.4494131527329728</v>
      </c>
      <c r="AU37">
        <f t="shared" si="30"/>
        <v>6.4500492800904397</v>
      </c>
      <c r="AV37">
        <f t="shared" si="30"/>
        <v>6.4507026685169251</v>
      </c>
      <c r="AW37">
        <f t="shared" si="30"/>
        <v>6.4513733234961137</v>
      </c>
      <c r="AX37">
        <f t="shared" si="30"/>
        <v>6.4520612506576072</v>
      </c>
      <c r="AY37">
        <f t="shared" si="30"/>
        <v>6.4527664557768958</v>
      </c>
      <c r="AZ37">
        <f t="shared" si="30"/>
        <v>6.4534889447739374</v>
      </c>
      <c r="BA37">
        <f t="shared" si="30"/>
        <v>6.4542287237160849</v>
      </c>
      <c r="BB37">
        <f t="shared" si="30"/>
        <v>6.4549857988151871</v>
      </c>
      <c r="BC37">
        <f t="shared" si="30"/>
        <v>6.4557601764300898</v>
      </c>
      <c r="BD37">
        <f t="shared" si="30"/>
        <v>6.4565518630649876</v>
      </c>
      <c r="BE37">
        <f t="shared" si="30"/>
        <v>6.4573608653709016</v>
      </c>
      <c r="BF37">
        <f t="shared" si="30"/>
        <v>6.458187190144713</v>
      </c>
      <c r="BG37">
        <f t="shared" si="30"/>
        <v>6.4590308443295612</v>
      </c>
      <c r="BH37">
        <f t="shared" si="30"/>
        <v>6.4598918350158669</v>
      </c>
      <c r="BI37">
        <f t="shared" si="30"/>
        <v>6.4607701694401385</v>
      </c>
      <c r="BJ37">
        <f t="shared" si="30"/>
        <v>6.4616658549857107</v>
      </c>
      <c r="BK37">
        <f t="shared" si="30"/>
        <v>6.462578899182688</v>
      </c>
      <c r="BL37">
        <f t="shared" si="30"/>
        <v>6.4635093097085701</v>
      </c>
      <c r="BM37">
        <f t="shared" si="30"/>
        <v>6.4644570943879103</v>
      </c>
      <c r="BN37">
        <f t="shared" si="30"/>
        <v>6.4654222611922592</v>
      </c>
      <c r="BO37">
        <f t="shared" si="30"/>
        <v>6.4664048182403917</v>
      </c>
      <c r="BP37">
        <f t="shared" si="30"/>
        <v>6.4674047737995579</v>
      </c>
      <c r="BQ37">
        <f t="shared" si="30"/>
        <v>6.4684221362836638</v>
      </c>
      <c r="BR37">
        <f t="shared" si="30"/>
        <v>6.4694569142550904</v>
      </c>
      <c r="BS37">
        <f t="shared" si="30"/>
        <v>6.4705091164236137</v>
      </c>
      <c r="BT37">
        <f t="shared" si="30"/>
        <v>6.4715787516474848</v>
      </c>
      <c r="BU37">
        <f t="shared" si="30"/>
        <v>6.4726658289335433</v>
      </c>
      <c r="BV37">
        <f t="shared" si="30"/>
        <v>6.4737703574359102</v>
      </c>
      <c r="BW37">
        <f t="shared" si="30"/>
        <v>6.4748923464582049</v>
      </c>
      <c r="BX37">
        <f t="shared" si="30"/>
        <v>6.4760318054525783</v>
      </c>
      <c r="BY37">
        <f t="shared" si="30"/>
        <v>6.4771887440197702</v>
      </c>
      <c r="BZ37">
        <f t="shared" si="30"/>
        <v>6.478363171909848</v>
      </c>
      <c r="CA37">
        <f t="shared" si="30"/>
        <v>6.4795550990215816</v>
      </c>
      <c r="CB37">
        <f t="shared" si="30"/>
        <v>6.4807645354034094</v>
      </c>
      <c r="CC37">
        <f t="shared" si="30"/>
        <v>6.4819914912536092</v>
      </c>
      <c r="CD37">
        <f t="shared" si="30"/>
        <v>6.4832359769191612</v>
      </c>
      <c r="CE37">
        <f t="shared" si="30"/>
        <v>6.4844980028979649</v>
      </c>
      <c r="CF37">
        <f t="shared" ref="CF37:EQ37" si="31">CF36-CE36</f>
        <v>6.4857775798369062</v>
      </c>
      <c r="CG37">
        <f t="shared" si="31"/>
        <v>6.4870747185343589</v>
      </c>
      <c r="CH37">
        <f t="shared" si="31"/>
        <v>6.4883894299373992</v>
      </c>
      <c r="CI37">
        <f t="shared" si="31"/>
        <v>6.4897217251450456</v>
      </c>
      <c r="CJ37">
        <f t="shared" si="31"/>
        <v>6.4910716154066677</v>
      </c>
      <c r="CK37">
        <f t="shared" si="31"/>
        <v>6.4924391121219287</v>
      </c>
      <c r="CL37">
        <f t="shared" si="31"/>
        <v>6.493824226842321</v>
      </c>
      <c r="CM37">
        <f t="shared" si="31"/>
        <v>6.4952269712704265</v>
      </c>
      <c r="CN37">
        <f t="shared" si="31"/>
        <v>6.4966473572609402</v>
      </c>
      <c r="CO37">
        <f t="shared" si="31"/>
        <v>6.4980853968182828</v>
      </c>
      <c r="CP37">
        <f t="shared" si="31"/>
        <v>6.4995411021011478</v>
      </c>
      <c r="CQ37">
        <f t="shared" si="31"/>
        <v>6.5010144854187502</v>
      </c>
      <c r="CR37">
        <f t="shared" si="31"/>
        <v>6.5025055592334411</v>
      </c>
      <c r="CS37">
        <f t="shared" si="31"/>
        <v>6.504014336159571</v>
      </c>
      <c r="CT37">
        <f t="shared" si="31"/>
        <v>6.5055408289640582</v>
      </c>
      <c r="CU37">
        <f t="shared" si="31"/>
        <v>6.5070850505677527</v>
      </c>
      <c r="CV37">
        <f t="shared" si="31"/>
        <v>6.508647014043504</v>
      </c>
      <c r="CW37">
        <f t="shared" si="31"/>
        <v>6.5102267326177525</v>
      </c>
      <c r="CX37">
        <f t="shared" si="31"/>
        <v>6.5118242196712117</v>
      </c>
      <c r="CY37">
        <f t="shared" si="31"/>
        <v>6.5134394887375038</v>
      </c>
      <c r="CZ37">
        <f t="shared" si="31"/>
        <v>6.5150725535050924</v>
      </c>
      <c r="DA37">
        <f t="shared" si="31"/>
        <v>6.5167234278148953</v>
      </c>
      <c r="DB37">
        <f t="shared" si="31"/>
        <v>6.5183921256663098</v>
      </c>
      <c r="DC37">
        <f t="shared" si="31"/>
        <v>6.5200786612085722</v>
      </c>
      <c r="DD37">
        <f t="shared" si="31"/>
        <v>6.5217830487480342</v>
      </c>
      <c r="DE37">
        <f t="shared" si="31"/>
        <v>6.5235053027478216</v>
      </c>
      <c r="DF37">
        <f t="shared" si="31"/>
        <v>6.5252454378241964</v>
      </c>
      <c r="DG37">
        <f t="shared" si="31"/>
        <v>6.5270034687496263</v>
      </c>
      <c r="DH37">
        <f t="shared" si="31"/>
        <v>6.5287794104525574</v>
      </c>
      <c r="DI37">
        <f t="shared" si="31"/>
        <v>6.5305732780188919</v>
      </c>
      <c r="DJ37">
        <f t="shared" si="31"/>
        <v>6.5323850866886914</v>
      </c>
      <c r="DK37">
        <f t="shared" si="31"/>
        <v>6.5342148518602698</v>
      </c>
      <c r="DL37">
        <f t="shared" si="31"/>
        <v>6.5360625890884876</v>
      </c>
      <c r="DM37">
        <f t="shared" si="31"/>
        <v>6.5379283140855478</v>
      </c>
      <c r="DN37">
        <f t="shared" si="31"/>
        <v>6.5398120427200865</v>
      </c>
      <c r="DO37">
        <f t="shared" si="31"/>
        <v>6.5417137910196743</v>
      </c>
      <c r="DP37">
        <f t="shared" si="31"/>
        <v>6.5436335751701336</v>
      </c>
      <c r="DQ37">
        <f t="shared" si="31"/>
        <v>6.5455714115139472</v>
      </c>
      <c r="DR37">
        <f t="shared" si="31"/>
        <v>6.5475273165537828</v>
      </c>
      <c r="DS37">
        <f t="shared" si="31"/>
        <v>6.5495013069496508</v>
      </c>
      <c r="DT37">
        <f t="shared" si="31"/>
        <v>6.5514933995216325</v>
      </c>
      <c r="DU37">
        <f t="shared" si="31"/>
        <v>6.5535036112493117</v>
      </c>
      <c r="DV37">
        <f t="shared" si="31"/>
        <v>6.555531959271093</v>
      </c>
      <c r="DW37">
        <f t="shared" si="31"/>
        <v>6.5575784608861341</v>
      </c>
      <c r="DX37">
        <f t="shared" si="31"/>
        <v>6.5596431335528678</v>
      </c>
      <c r="DY37">
        <f t="shared" si="31"/>
        <v>6.5617259948913897</v>
      </c>
      <c r="DZ37">
        <f t="shared" si="31"/>
        <v>6.5638270626816393</v>
      </c>
      <c r="EA37">
        <f t="shared" si="31"/>
        <v>6.5659463548654458</v>
      </c>
      <c r="EB37">
        <f t="shared" si="31"/>
        <v>6.5680838895457327</v>
      </c>
      <c r="EC37">
        <f t="shared" si="31"/>
        <v>6.5702396849862907</v>
      </c>
      <c r="ED37">
        <f t="shared" si="31"/>
        <v>6.5724137596146193</v>
      </c>
      <c r="EE37">
        <f t="shared" si="31"/>
        <v>6.5746061320194258</v>
      </c>
      <c r="EF37">
        <f t="shared" si="31"/>
        <v>6.5768168209525584</v>
      </c>
      <c r="EG37">
        <f t="shared" si="31"/>
        <v>6.579045845326732</v>
      </c>
      <c r="EH37">
        <f t="shared" si="31"/>
        <v>6.581293224224396</v>
      </c>
      <c r="EI37">
        <f t="shared" si="31"/>
        <v>6.5835589768821592</v>
      </c>
      <c r="EJ37">
        <f t="shared" si="31"/>
        <v>6.5858431227082974</v>
      </c>
      <c r="EK37">
        <f t="shared" si="31"/>
        <v>6.5881456812710439</v>
      </c>
      <c r="EL37">
        <f t="shared" si="31"/>
        <v>6.5904666723048422</v>
      </c>
      <c r="EM37">
        <f t="shared" si="31"/>
        <v>6.5928061157100046</v>
      </c>
      <c r="EN37">
        <f t="shared" si="31"/>
        <v>6.5951640315495297</v>
      </c>
      <c r="EO37">
        <f t="shared" si="31"/>
        <v>6.5975404400543312</v>
      </c>
      <c r="EP37">
        <f t="shared" si="31"/>
        <v>6.5999353616206236</v>
      </c>
      <c r="EQ37">
        <f t="shared" si="31"/>
        <v>6.602348816809581</v>
      </c>
      <c r="ER37">
        <f t="shared" ref="ER37:HC37" si="32">ER36-EQ36</f>
        <v>6.6047808263514298</v>
      </c>
      <c r="ES37">
        <f t="shared" si="32"/>
        <v>6.6072314111407877</v>
      </c>
      <c r="ET37">
        <f t="shared" si="32"/>
        <v>6.609700592241893</v>
      </c>
      <c r="EU37">
        <f t="shared" si="32"/>
        <v>6.6121883908849668</v>
      </c>
      <c r="EV37">
        <f t="shared" si="32"/>
        <v>6.6146948284692826</v>
      </c>
      <c r="EW37">
        <f t="shared" si="32"/>
        <v>6.6172199265625977</v>
      </c>
      <c r="EX37">
        <f t="shared" si="32"/>
        <v>6.619763706900585</v>
      </c>
      <c r="EY37">
        <f t="shared" si="32"/>
        <v>6.6223261913879696</v>
      </c>
      <c r="EZ37">
        <f t="shared" si="32"/>
        <v>6.6249074021013712</v>
      </c>
      <c r="FA37">
        <f t="shared" si="32"/>
        <v>6.6275073612837332</v>
      </c>
      <c r="FB37">
        <f t="shared" si="32"/>
        <v>6.6301260913512579</v>
      </c>
      <c r="FC37">
        <f t="shared" si="32"/>
        <v>6.6327636148888587</v>
      </c>
      <c r="FD37">
        <f t="shared" si="32"/>
        <v>6.6354199546536847</v>
      </c>
      <c r="FE37">
        <f t="shared" si="32"/>
        <v>6.6380951335737564</v>
      </c>
      <c r="FF37">
        <f t="shared" si="32"/>
        <v>6.6407891747494432</v>
      </c>
      <c r="FG37">
        <f t="shared" si="32"/>
        <v>6.6435021014519862</v>
      </c>
      <c r="FH37">
        <f t="shared" si="32"/>
        <v>6.6462339371274766</v>
      </c>
      <c r="FI37">
        <f t="shared" si="32"/>
        <v>6.6489847053927633</v>
      </c>
      <c r="FJ37">
        <f t="shared" si="32"/>
        <v>6.6517544300390909</v>
      </c>
      <c r="FK37">
        <f t="shared" si="32"/>
        <v>6.6545431350318722</v>
      </c>
      <c r="FL37">
        <f t="shared" si="32"/>
        <v>6.6573508445105745</v>
      </c>
      <c r="FM37">
        <f t="shared" si="32"/>
        <v>6.6601775827891743</v>
      </c>
      <c r="FN37">
        <f t="shared" si="32"/>
        <v>6.6630233743555891</v>
      </c>
      <c r="FO37">
        <f t="shared" si="32"/>
        <v>6.6658882438757701</v>
      </c>
      <c r="FP37">
        <f t="shared" si="32"/>
        <v>6.6687722161880174</v>
      </c>
      <c r="FQ37">
        <f t="shared" si="32"/>
        <v>6.6716753163120757</v>
      </c>
      <c r="FR37">
        <f t="shared" si="32"/>
        <v>6.6745975694386743</v>
      </c>
      <c r="FS37">
        <f t="shared" si="32"/>
        <v>6.6775390009397597</v>
      </c>
      <c r="FT37">
        <f t="shared" si="32"/>
        <v>6.6804996363632654</v>
      </c>
      <c r="FU37">
        <f t="shared" si="32"/>
        <v>6.6834795014353858</v>
      </c>
      <c r="FV37">
        <f t="shared" si="32"/>
        <v>6.6864786220617134</v>
      </c>
      <c r="FW37">
        <f t="shared" si="32"/>
        <v>6.689497024324055</v>
      </c>
      <c r="FX37">
        <f t="shared" si="32"/>
        <v>6.6925347344883903</v>
      </c>
      <c r="FY37">
        <f t="shared" si="32"/>
        <v>6.6955917789957766</v>
      </c>
      <c r="FZ37">
        <f t="shared" si="32"/>
        <v>6.6986681844700797</v>
      </c>
      <c r="GA37">
        <f t="shared" si="32"/>
        <v>6.7017639777152453</v>
      </c>
      <c r="GB37">
        <f t="shared" si="32"/>
        <v>6.7048791857173455</v>
      </c>
      <c r="GC37">
        <f t="shared" si="32"/>
        <v>6.7080138356416228</v>
      </c>
      <c r="GD37">
        <f t="shared" si="32"/>
        <v>6.711167954839766</v>
      </c>
      <c r="GE37">
        <f t="shared" si="32"/>
        <v>6.7143415708414977</v>
      </c>
      <c r="GF37">
        <f t="shared" si="32"/>
        <v>6.7175347113629869</v>
      </c>
      <c r="GG37">
        <f t="shared" si="32"/>
        <v>6.7207474043011644</v>
      </c>
      <c r="GH37">
        <f t="shared" si="32"/>
        <v>6.7239796777409993</v>
      </c>
      <c r="GI37">
        <f t="shared" si="32"/>
        <v>6.7272315599473131</v>
      </c>
      <c r="GJ37">
        <f t="shared" si="32"/>
        <v>6.7305030793745573</v>
      </c>
      <c r="GK37">
        <f t="shared" si="32"/>
        <v>6.7337942646558986</v>
      </c>
      <c r="GL37">
        <f t="shared" si="32"/>
        <v>6.7371051446239107</v>
      </c>
      <c r="GM37">
        <f t="shared" si="32"/>
        <v>6.7404357482789692</v>
      </c>
      <c r="GN37">
        <f t="shared" si="32"/>
        <v>6.7437861048249488</v>
      </c>
      <c r="GO37">
        <f t="shared" si="32"/>
        <v>6.7471562436435306</v>
      </c>
      <c r="GP37">
        <f t="shared" si="32"/>
        <v>6.7505461943092087</v>
      </c>
      <c r="GQ37">
        <f t="shared" si="32"/>
        <v>6.7539559865831507</v>
      </c>
      <c r="GR37">
        <f t="shared" si="32"/>
        <v>6.7573856504156993</v>
      </c>
      <c r="GS37">
        <f t="shared" si="32"/>
        <v>6.7608352159475089</v>
      </c>
      <c r="GT37">
        <f t="shared" si="32"/>
        <v>6.7643047135086363</v>
      </c>
      <c r="GU37">
        <f t="shared" si="32"/>
        <v>6.7677941736196772</v>
      </c>
      <c r="GV37">
        <f t="shared" si="32"/>
        <v>6.7713036269933582</v>
      </c>
      <c r="GW37">
        <f t="shared" si="32"/>
        <v>6.7748331045345367</v>
      </c>
      <c r="GX37">
        <f t="shared" si="32"/>
        <v>6.7783826373383818</v>
      </c>
      <c r="GY37">
        <f t="shared" si="32"/>
        <v>6.7819522566937849</v>
      </c>
      <c r="GZ37">
        <f t="shared" si="32"/>
        <v>6.7855419940838146</v>
      </c>
      <c r="HA37">
        <f t="shared" si="32"/>
        <v>6.7891518811843525</v>
      </c>
      <c r="HB37">
        <f t="shared" si="32"/>
        <v>6.7927819498700046</v>
      </c>
      <c r="HC37">
        <f t="shared" si="32"/>
        <v>6.796432232196139</v>
      </c>
      <c r="HD37">
        <f t="shared" ref="HD37:JO37" si="33">HD36-HC36</f>
        <v>6.8001027604357205</v>
      </c>
      <c r="HE37">
        <f t="shared" si="33"/>
        <v>6.8037935670408842</v>
      </c>
      <c r="HF37">
        <f t="shared" si="33"/>
        <v>6.8075046846674923</v>
      </c>
      <c r="HG37">
        <f t="shared" si="33"/>
        <v>6.8112361461664932</v>
      </c>
      <c r="HH37">
        <f t="shared" si="33"/>
        <v>6.814987984588015</v>
      </c>
      <c r="HI37">
        <f t="shared" si="33"/>
        <v>6.8187602331793187</v>
      </c>
      <c r="HJ37">
        <f t="shared" si="33"/>
        <v>6.8225529253879813</v>
      </c>
      <c r="HK37">
        <f t="shared" si="33"/>
        <v>6.8263660948612142</v>
      </c>
      <c r="HL37">
        <f t="shared" si="33"/>
        <v>6.8301997754447257</v>
      </c>
      <c r="HM37">
        <f t="shared" si="33"/>
        <v>6.8340540011868143</v>
      </c>
      <c r="HN37">
        <f t="shared" si="33"/>
        <v>6.8379288063381409</v>
      </c>
      <c r="HO37">
        <f t="shared" si="33"/>
        <v>6.8418242253483186</v>
      </c>
      <c r="HP37">
        <f t="shared" si="33"/>
        <v>6.8457402928713691</v>
      </c>
      <c r="HQ37">
        <f t="shared" si="33"/>
        <v>6.8496770437650412</v>
      </c>
      <c r="HR37">
        <f t="shared" si="33"/>
        <v>6.8536345130899008</v>
      </c>
      <c r="HS37">
        <f t="shared" si="33"/>
        <v>6.8576127361127419</v>
      </c>
      <c r="HT37">
        <f t="shared" si="33"/>
        <v>6.8616117483018115</v>
      </c>
      <c r="HU37">
        <f t="shared" si="33"/>
        <v>6.8656315853359047</v>
      </c>
      <c r="HV37">
        <f t="shared" si="33"/>
        <v>6.8696722830979979</v>
      </c>
      <c r="HW37">
        <f t="shared" si="33"/>
        <v>6.8737338776752495</v>
      </c>
      <c r="HX37">
        <f t="shared" si="33"/>
        <v>6.8778164053676392</v>
      </c>
      <c r="HY37">
        <f t="shared" si="33"/>
        <v>6.8819199026813749</v>
      </c>
      <c r="HZ37">
        <f t="shared" si="33"/>
        <v>6.8860444063291197</v>
      </c>
      <c r="IA37">
        <f t="shared" si="33"/>
        <v>6.8901899532372681</v>
      </c>
      <c r="IB37">
        <f t="shared" si="33"/>
        <v>6.8943565805393519</v>
      </c>
      <c r="IC37">
        <f t="shared" si="33"/>
        <v>6.8985443255810424</v>
      </c>
      <c r="ID37">
        <f t="shared" si="33"/>
        <v>6.9027532259217423</v>
      </c>
      <c r="IE37">
        <f t="shared" si="33"/>
        <v>6.9069833193279919</v>
      </c>
      <c r="IF37">
        <f t="shared" si="33"/>
        <v>6.9112346437843826</v>
      </c>
      <c r="IG37">
        <f t="shared" si="33"/>
        <v>6.9155072374860538</v>
      </c>
      <c r="IH37">
        <f t="shared" si="33"/>
        <v>6.9198011388455143</v>
      </c>
      <c r="II37">
        <f t="shared" si="33"/>
        <v>6.924116386484684</v>
      </c>
      <c r="IJ37">
        <f t="shared" si="33"/>
        <v>6.9284530192478542</v>
      </c>
      <c r="IK37">
        <f t="shared" si="33"/>
        <v>6.9328110761923654</v>
      </c>
      <c r="IL37">
        <f t="shared" si="33"/>
        <v>6.9371905965908809</v>
      </c>
      <c r="IM37">
        <f t="shared" si="33"/>
        <v>6.941591619939345</v>
      </c>
      <c r="IN37">
        <f t="shared" si="33"/>
        <v>6.9460141859449323</v>
      </c>
      <c r="IO37">
        <f t="shared" si="33"/>
        <v>6.9504583345415085</v>
      </c>
      <c r="IP37">
        <f t="shared" si="33"/>
        <v>6.9549241058771258</v>
      </c>
      <c r="IQ37">
        <f t="shared" si="33"/>
        <v>6.9594115403231172</v>
      </c>
      <c r="IR37">
        <f t="shared" si="33"/>
        <v>6.9639206784740963</v>
      </c>
      <c r="IS37">
        <f t="shared" si="33"/>
        <v>6.9684515611404549</v>
      </c>
      <c r="IT37">
        <f t="shared" si="33"/>
        <v>6.9730042293633687</v>
      </c>
      <c r="IU37">
        <f t="shared" si="33"/>
        <v>6.9775787244025196</v>
      </c>
      <c r="IV37">
        <f t="shared" si="33"/>
        <v>6.9821750877429167</v>
      </c>
      <c r="IW37">
        <f t="shared" si="33"/>
        <v>6.9867933610958062</v>
      </c>
      <c r="IX37">
        <f t="shared" si="33"/>
        <v>6.9914335863979886</v>
      </c>
      <c r="IY37">
        <f t="shared" si="33"/>
        <v>6.9960958058113647</v>
      </c>
      <c r="IZ37">
        <f t="shared" si="33"/>
        <v>7.0007800617277098</v>
      </c>
      <c r="JA37">
        <f t="shared" si="33"/>
        <v>7.0054863967652636</v>
      </c>
      <c r="JB37">
        <f t="shared" si="33"/>
        <v>7.0102148537716857</v>
      </c>
      <c r="JC37">
        <f t="shared" si="33"/>
        <v>7.0149654758231463</v>
      </c>
      <c r="JD37">
        <f t="shared" si="33"/>
        <v>7.0197383062311474</v>
      </c>
      <c r="JE37">
        <f t="shared" si="33"/>
        <v>7.0245333885313812</v>
      </c>
      <c r="JF37">
        <f t="shared" si="33"/>
        <v>7.0293507664973731</v>
      </c>
      <c r="JG37">
        <f t="shared" si="33"/>
        <v>7.0341904841320684</v>
      </c>
      <c r="JH37">
        <f t="shared" si="33"/>
        <v>7.0390525856739714</v>
      </c>
      <c r="JI37">
        <f t="shared" si="33"/>
        <v>7.0439371155973731</v>
      </c>
      <c r="JJ37">
        <f t="shared" si="33"/>
        <v>7.0488441186073487</v>
      </c>
      <c r="JK37">
        <f t="shared" si="33"/>
        <v>7.0537736396497621</v>
      </c>
      <c r="JL37">
        <f t="shared" si="33"/>
        <v>7.0587257239060364</v>
      </c>
      <c r="JM37">
        <f t="shared" si="33"/>
        <v>7.0637004167929263</v>
      </c>
      <c r="JN37">
        <f t="shared" si="33"/>
        <v>7.0686977639700217</v>
      </c>
      <c r="JO37">
        <f t="shared" si="33"/>
        <v>7.0737178113349728</v>
      </c>
      <c r="JP37">
        <f t="shared" ref="JP37:KC37" si="34">JP36-JO36</f>
        <v>7.0787606050225804</v>
      </c>
      <c r="JQ37">
        <f t="shared" si="34"/>
        <v>7.0838261914136638</v>
      </c>
      <c r="JR37">
        <f t="shared" si="34"/>
        <v>7.0889146171286939</v>
      </c>
      <c r="JS37">
        <f t="shared" si="34"/>
        <v>7.0940259290296126</v>
      </c>
      <c r="JT37">
        <f t="shared" si="34"/>
        <v>7.0991601742264265</v>
      </c>
      <c r="JU37">
        <f t="shared" si="34"/>
        <v>7.1043174000676572</v>
      </c>
      <c r="JV37">
        <f t="shared" si="34"/>
        <v>7.1094976541548931</v>
      </c>
      <c r="JW37">
        <f t="shared" si="34"/>
        <v>7.1147009843286924</v>
      </c>
      <c r="JX37">
        <f t="shared" si="34"/>
        <v>7.1199274386822253</v>
      </c>
      <c r="JY37">
        <f t="shared" si="34"/>
        <v>7.1251770655546807</v>
      </c>
      <c r="JZ37">
        <f t="shared" si="34"/>
        <v>7.1304499135335391</v>
      </c>
      <c r="KA37">
        <f t="shared" si="34"/>
        <v>7.1357460314591208</v>
      </c>
      <c r="KB37">
        <f t="shared" si="34"/>
        <v>7.1410654684184465</v>
      </c>
      <c r="KC37">
        <f t="shared" si="34"/>
        <v>7.1464082737552417</v>
      </c>
      <c r="KD37">
        <f>AVERAGE(K37:KC37)</f>
        <v>6.6706182266225751</v>
      </c>
    </row>
    <row r="46" spans="2:612" x14ac:dyDescent="0.25">
      <c r="B46" t="s">
        <v>49</v>
      </c>
      <c r="C46" t="s">
        <v>41</v>
      </c>
      <c r="D46" t="s">
        <v>42</v>
      </c>
    </row>
    <row r="47" spans="2:612" x14ac:dyDescent="0.25">
      <c r="J47" s="1">
        <v>0.02</v>
      </c>
      <c r="K47" s="1">
        <v>0.04</v>
      </c>
      <c r="L47" s="1">
        <v>0.06</v>
      </c>
      <c r="M47" s="1">
        <v>0.08</v>
      </c>
      <c r="N47" s="1">
        <v>0.1</v>
      </c>
      <c r="O47" s="1">
        <v>0.12</v>
      </c>
      <c r="P47" s="1">
        <v>0.14000000000000001</v>
      </c>
      <c r="Q47" s="1">
        <v>0.16</v>
      </c>
      <c r="R47" s="1">
        <v>0.18</v>
      </c>
      <c r="S47" s="1">
        <v>0.2</v>
      </c>
      <c r="T47" s="1">
        <v>0.22</v>
      </c>
      <c r="U47" s="1">
        <v>0.24</v>
      </c>
      <c r="V47" s="1">
        <v>0.26</v>
      </c>
      <c r="W47" s="1">
        <v>0.28000000000000003</v>
      </c>
      <c r="X47" s="1">
        <v>0.3</v>
      </c>
      <c r="Y47" s="1">
        <v>0.32</v>
      </c>
      <c r="Z47" s="1">
        <v>0.34</v>
      </c>
      <c r="AA47" s="1">
        <v>0.36</v>
      </c>
      <c r="AB47" s="1">
        <v>0.38</v>
      </c>
      <c r="AC47" s="1">
        <v>0.4</v>
      </c>
      <c r="AD47" s="1">
        <v>0.42</v>
      </c>
      <c r="AE47" s="1">
        <v>0.44</v>
      </c>
      <c r="AF47" s="1">
        <v>0.46</v>
      </c>
      <c r="AG47" s="1">
        <v>0.48</v>
      </c>
      <c r="AH47" s="1">
        <v>0.5</v>
      </c>
      <c r="AI47" s="1">
        <v>0.52</v>
      </c>
      <c r="AJ47" s="1">
        <v>0.54</v>
      </c>
      <c r="AK47" s="1">
        <v>0.56000000000000005</v>
      </c>
      <c r="AL47" s="1">
        <v>0.57999999999999996</v>
      </c>
      <c r="AM47" s="1">
        <v>0.6</v>
      </c>
      <c r="AN47" s="1">
        <v>0.62</v>
      </c>
      <c r="AO47" s="1">
        <v>0.64</v>
      </c>
      <c r="AP47" s="1">
        <v>0.66</v>
      </c>
      <c r="AQ47" s="1">
        <v>0.68</v>
      </c>
      <c r="AR47" s="1">
        <v>0.7</v>
      </c>
      <c r="AS47" s="1">
        <v>0.72</v>
      </c>
      <c r="AT47" s="1">
        <v>0.74</v>
      </c>
      <c r="AU47" s="1">
        <v>0.76</v>
      </c>
      <c r="AV47" s="1">
        <v>0.78</v>
      </c>
      <c r="AW47" s="1">
        <v>0.8</v>
      </c>
      <c r="AX47" s="1">
        <v>0.82</v>
      </c>
      <c r="AY47" s="1">
        <v>0.84</v>
      </c>
      <c r="AZ47" s="1">
        <v>0.86</v>
      </c>
      <c r="BA47" s="1">
        <v>0.88</v>
      </c>
      <c r="BB47" s="1">
        <v>0.9</v>
      </c>
      <c r="BC47" s="1">
        <v>0.92</v>
      </c>
      <c r="BD47" s="1">
        <v>0.94</v>
      </c>
      <c r="BE47" s="1">
        <v>0.96</v>
      </c>
      <c r="BF47" s="1">
        <v>0.98</v>
      </c>
      <c r="BG47" s="1">
        <v>1</v>
      </c>
      <c r="BH47" s="1">
        <v>1.02</v>
      </c>
      <c r="BI47" s="1">
        <v>1.04</v>
      </c>
      <c r="BJ47" s="1">
        <v>1.06</v>
      </c>
      <c r="BK47" s="1">
        <v>1.08</v>
      </c>
      <c r="BL47" s="1">
        <v>1.1000000000000001</v>
      </c>
      <c r="BM47" s="1">
        <v>1.1200000000000001</v>
      </c>
      <c r="BN47" s="1">
        <v>1.1399999999999999</v>
      </c>
      <c r="BO47" s="1">
        <v>1.1599999999999999</v>
      </c>
      <c r="BP47" s="1">
        <v>1.18</v>
      </c>
      <c r="BQ47" s="1">
        <v>1.2</v>
      </c>
      <c r="BR47" s="1">
        <v>1.22</v>
      </c>
      <c r="BS47" s="1">
        <v>1.24</v>
      </c>
      <c r="BT47" s="1">
        <v>1.26</v>
      </c>
      <c r="BU47" s="1">
        <v>1.28</v>
      </c>
      <c r="BV47" s="1">
        <v>1.3</v>
      </c>
      <c r="BW47" s="1">
        <v>1.32</v>
      </c>
      <c r="BX47" s="1">
        <v>1.34</v>
      </c>
      <c r="BY47" s="1">
        <v>1.36</v>
      </c>
      <c r="BZ47" s="1">
        <v>1.38</v>
      </c>
      <c r="CA47" s="1">
        <v>1.4</v>
      </c>
      <c r="CB47" s="1">
        <v>1.42</v>
      </c>
      <c r="CC47" s="1">
        <v>1.44</v>
      </c>
      <c r="CD47" s="1">
        <v>1.46</v>
      </c>
      <c r="CE47" s="1">
        <v>1.48</v>
      </c>
      <c r="CF47" s="1">
        <v>1.5</v>
      </c>
      <c r="CG47" s="1">
        <v>1.52</v>
      </c>
      <c r="CH47" s="1">
        <v>1.54</v>
      </c>
      <c r="CI47" s="1">
        <v>1.56</v>
      </c>
      <c r="CJ47" s="1">
        <v>1.58</v>
      </c>
      <c r="CK47" s="1">
        <v>1.6</v>
      </c>
      <c r="CL47" s="1">
        <v>1.62</v>
      </c>
      <c r="CM47" s="1">
        <v>1.64</v>
      </c>
      <c r="CN47" s="1">
        <v>1.66</v>
      </c>
      <c r="CO47" s="1">
        <v>1.68</v>
      </c>
      <c r="CP47" s="1">
        <v>1.7</v>
      </c>
      <c r="CQ47" s="1">
        <v>1.72</v>
      </c>
      <c r="CR47" s="1">
        <v>1.74</v>
      </c>
      <c r="CS47" s="1">
        <v>1.76</v>
      </c>
      <c r="CT47" s="1">
        <v>1.78</v>
      </c>
      <c r="CU47" s="1">
        <v>1.8</v>
      </c>
      <c r="CV47" s="1">
        <v>1.82</v>
      </c>
      <c r="CW47" s="1">
        <v>1.84</v>
      </c>
      <c r="CX47" s="1">
        <v>1.86</v>
      </c>
      <c r="CY47" s="1">
        <v>1.88</v>
      </c>
      <c r="CZ47" s="1">
        <v>1.9</v>
      </c>
      <c r="DA47" s="1">
        <v>1.92</v>
      </c>
      <c r="DB47" s="1">
        <v>1.94</v>
      </c>
      <c r="DC47" s="1">
        <v>1.96</v>
      </c>
      <c r="DD47" s="1">
        <v>1.98</v>
      </c>
      <c r="DE47" s="1">
        <v>2</v>
      </c>
      <c r="DF47" s="1">
        <v>2.02</v>
      </c>
      <c r="DG47" s="1">
        <v>2.04</v>
      </c>
      <c r="DH47" s="1">
        <v>2.06</v>
      </c>
      <c r="DI47" s="1">
        <v>2.08</v>
      </c>
      <c r="DJ47" s="1">
        <v>2.1</v>
      </c>
      <c r="DK47" s="1">
        <v>2.12</v>
      </c>
      <c r="DL47" s="1">
        <v>2.14</v>
      </c>
      <c r="DM47" s="1">
        <v>2.16</v>
      </c>
      <c r="DN47" s="1">
        <v>2.1800000000000002</v>
      </c>
      <c r="DO47" s="1">
        <v>2.2000000000000002</v>
      </c>
      <c r="DP47" s="1">
        <v>2.2200000000000002</v>
      </c>
      <c r="DQ47" s="1">
        <v>2.2400000000000002</v>
      </c>
      <c r="DR47" s="1">
        <v>2.2599999999999998</v>
      </c>
      <c r="DS47" s="1">
        <v>2.2799999999999998</v>
      </c>
      <c r="DT47" s="1">
        <v>2.2999999999999998</v>
      </c>
      <c r="DU47" s="1">
        <v>2.3199999999999998</v>
      </c>
      <c r="DV47" s="1">
        <v>2.34</v>
      </c>
      <c r="DW47" s="1">
        <v>2.36</v>
      </c>
      <c r="DX47" s="1">
        <v>2.38</v>
      </c>
      <c r="DY47" s="1">
        <v>2.4</v>
      </c>
      <c r="DZ47" s="1">
        <v>2.42</v>
      </c>
      <c r="EA47" s="1">
        <v>2.44</v>
      </c>
      <c r="EB47" s="1">
        <v>2.46</v>
      </c>
      <c r="EC47" s="1">
        <v>2.48</v>
      </c>
      <c r="ED47" s="1">
        <v>2.5</v>
      </c>
      <c r="EE47" s="1">
        <v>2.52</v>
      </c>
      <c r="EF47" s="1">
        <v>2.54</v>
      </c>
      <c r="EG47" s="1">
        <v>2.56</v>
      </c>
      <c r="EH47" s="1">
        <v>2.58</v>
      </c>
      <c r="EI47" s="1">
        <v>2.6</v>
      </c>
      <c r="EJ47" s="1">
        <v>2.62</v>
      </c>
      <c r="EK47" s="1">
        <v>2.64</v>
      </c>
      <c r="EL47" s="1">
        <v>2.66</v>
      </c>
      <c r="EM47" s="1">
        <v>2.68</v>
      </c>
      <c r="EN47" s="1">
        <v>2.7</v>
      </c>
      <c r="EO47" s="1">
        <v>2.72</v>
      </c>
      <c r="EP47" s="1">
        <v>2.74</v>
      </c>
      <c r="EQ47" s="1">
        <v>2.76</v>
      </c>
      <c r="ER47" s="1">
        <v>2.78</v>
      </c>
      <c r="ES47" s="1">
        <v>2.8</v>
      </c>
      <c r="ET47" s="1">
        <v>2.82</v>
      </c>
      <c r="EU47" s="1">
        <v>2.84</v>
      </c>
      <c r="EV47" s="1">
        <v>2.86</v>
      </c>
      <c r="EW47" s="1">
        <v>2.88</v>
      </c>
      <c r="EX47" s="1">
        <v>2.9</v>
      </c>
      <c r="EY47" s="1">
        <v>2.92</v>
      </c>
      <c r="EZ47" s="1">
        <v>2.94</v>
      </c>
      <c r="FA47" s="1">
        <v>2.96</v>
      </c>
      <c r="FB47" s="1">
        <v>2.98</v>
      </c>
      <c r="FC47" s="1">
        <v>3</v>
      </c>
      <c r="FD47" s="1">
        <v>3.02</v>
      </c>
      <c r="FE47" s="1">
        <v>3.04</v>
      </c>
      <c r="FF47" s="1">
        <v>3.06</v>
      </c>
      <c r="FG47" s="1">
        <v>3.08</v>
      </c>
      <c r="FH47" s="1">
        <v>3.1</v>
      </c>
      <c r="FI47" s="1">
        <v>3.12</v>
      </c>
      <c r="FJ47" s="1">
        <v>3.14</v>
      </c>
      <c r="FK47" s="1">
        <v>3.16</v>
      </c>
      <c r="FL47" s="1">
        <v>3.18</v>
      </c>
      <c r="FM47" s="1">
        <v>3.2</v>
      </c>
      <c r="FN47" s="1">
        <v>3.22</v>
      </c>
      <c r="FO47" s="1">
        <v>3.24</v>
      </c>
      <c r="FP47" s="1">
        <v>3.26</v>
      </c>
      <c r="FQ47" s="1">
        <v>3.28</v>
      </c>
      <c r="FR47" s="1">
        <v>3.3</v>
      </c>
      <c r="FS47" s="1">
        <v>3.32</v>
      </c>
      <c r="FT47" s="1">
        <v>3.34</v>
      </c>
      <c r="FU47" s="1">
        <v>3.36</v>
      </c>
      <c r="FV47" s="1">
        <v>3.38</v>
      </c>
      <c r="FW47" s="1">
        <v>3.4</v>
      </c>
      <c r="FX47" s="1">
        <v>3.42</v>
      </c>
      <c r="FY47" s="1">
        <v>3.44</v>
      </c>
      <c r="FZ47" s="1">
        <v>3.46</v>
      </c>
      <c r="GA47" s="1">
        <v>3.48</v>
      </c>
      <c r="GB47" s="1">
        <v>3.5</v>
      </c>
      <c r="GC47" s="1">
        <v>3.52</v>
      </c>
      <c r="GD47" s="1">
        <v>3.54</v>
      </c>
      <c r="GE47" s="1">
        <v>3.56</v>
      </c>
      <c r="GF47" s="1">
        <v>3.58</v>
      </c>
      <c r="GG47" s="1">
        <v>3.6</v>
      </c>
      <c r="GH47" s="1">
        <v>3.62</v>
      </c>
      <c r="GI47" s="1">
        <v>3.64</v>
      </c>
      <c r="GJ47" s="1">
        <v>3.66</v>
      </c>
      <c r="GK47" s="1">
        <v>3.68</v>
      </c>
      <c r="GL47" s="1">
        <v>3.7</v>
      </c>
      <c r="GM47" s="1">
        <v>3.72</v>
      </c>
      <c r="GN47" s="1">
        <v>3.74</v>
      </c>
      <c r="GO47" s="1">
        <v>3.76</v>
      </c>
      <c r="GP47" s="1">
        <v>3.78</v>
      </c>
      <c r="GQ47" s="1">
        <v>3.8</v>
      </c>
      <c r="GR47" s="1">
        <v>3.82</v>
      </c>
      <c r="GS47" s="1">
        <v>3.84</v>
      </c>
      <c r="GT47" s="1">
        <v>3.86</v>
      </c>
      <c r="GU47" s="1">
        <v>3.88</v>
      </c>
      <c r="GV47" s="1">
        <v>3.9</v>
      </c>
      <c r="GW47" s="1">
        <v>3.92</v>
      </c>
      <c r="GX47" s="1">
        <v>3.94</v>
      </c>
      <c r="GY47" s="1">
        <v>3.96</v>
      </c>
      <c r="GZ47" s="1">
        <v>3.98</v>
      </c>
      <c r="HA47" s="1">
        <v>4</v>
      </c>
      <c r="HB47" s="1">
        <v>4.0199999999999996</v>
      </c>
      <c r="HC47" s="1">
        <v>4.04</v>
      </c>
      <c r="HD47" s="1">
        <v>4.0599999999999996</v>
      </c>
      <c r="HE47" s="1">
        <v>4.08</v>
      </c>
      <c r="HF47" s="1">
        <v>4.0999999999999996</v>
      </c>
      <c r="HG47" s="1">
        <v>4.12</v>
      </c>
      <c r="HH47" s="1">
        <v>4.1399999999999997</v>
      </c>
      <c r="HI47" s="1">
        <v>4.16</v>
      </c>
      <c r="HJ47" s="1">
        <v>4.18</v>
      </c>
      <c r="HK47" s="1">
        <v>4.2</v>
      </c>
      <c r="HL47" s="1">
        <v>4.22</v>
      </c>
      <c r="HM47" s="1">
        <v>4.24</v>
      </c>
      <c r="HN47" s="1">
        <v>4.26</v>
      </c>
      <c r="HO47" s="1">
        <v>4.28</v>
      </c>
      <c r="HP47" s="1">
        <v>4.3</v>
      </c>
      <c r="HQ47" s="1">
        <v>4.32</v>
      </c>
      <c r="HR47" s="1">
        <v>4.34</v>
      </c>
      <c r="HS47" s="1">
        <v>4.3600000000000003</v>
      </c>
      <c r="HT47" s="1">
        <v>4.38</v>
      </c>
      <c r="HU47" s="1">
        <v>4.4000000000000004</v>
      </c>
      <c r="HV47" s="1">
        <v>4.42</v>
      </c>
      <c r="HW47" s="1">
        <v>4.4400000000000004</v>
      </c>
      <c r="HX47" s="1">
        <v>4.46</v>
      </c>
      <c r="HY47" s="1">
        <v>4.4800000000000004</v>
      </c>
      <c r="HZ47" s="1">
        <v>4.5</v>
      </c>
      <c r="IA47" s="1">
        <v>4.5199999999999996</v>
      </c>
      <c r="IB47" s="1">
        <v>4.54</v>
      </c>
      <c r="IC47" s="1">
        <v>4.5599999999999996</v>
      </c>
      <c r="ID47" s="1">
        <v>4.58</v>
      </c>
      <c r="IE47" s="1">
        <v>4.5999999999999996</v>
      </c>
      <c r="IF47" s="1">
        <v>4.62</v>
      </c>
      <c r="IG47" s="1">
        <v>4.6399999999999997</v>
      </c>
      <c r="IH47" s="1">
        <v>4.66</v>
      </c>
      <c r="II47" s="1">
        <v>4.68</v>
      </c>
      <c r="IJ47" s="1">
        <v>4.7</v>
      </c>
      <c r="IK47" s="1">
        <v>4.72</v>
      </c>
      <c r="IL47" s="1">
        <v>4.74</v>
      </c>
      <c r="IM47" s="1">
        <v>4.76</v>
      </c>
      <c r="IN47" s="1">
        <v>4.78</v>
      </c>
      <c r="IO47" s="1">
        <v>4.8</v>
      </c>
      <c r="IP47" s="1">
        <v>4.82</v>
      </c>
      <c r="IQ47" s="1">
        <v>4.84</v>
      </c>
      <c r="IR47" s="1">
        <v>4.8600000000000003</v>
      </c>
      <c r="IS47" s="1">
        <v>4.88</v>
      </c>
      <c r="IT47" s="1">
        <v>4.9000000000000004</v>
      </c>
      <c r="IU47" s="1">
        <v>4.92</v>
      </c>
      <c r="IV47" s="1">
        <v>4.9400000000000004</v>
      </c>
      <c r="IW47" s="1">
        <v>4.96</v>
      </c>
      <c r="IX47" s="1">
        <v>4.9800000000000004</v>
      </c>
      <c r="IY47" s="1">
        <v>5</v>
      </c>
      <c r="IZ47" s="1">
        <v>5.0199999999999996</v>
      </c>
      <c r="JA47" s="1">
        <v>5.04</v>
      </c>
      <c r="JB47" s="1">
        <v>5.0599999999999996</v>
      </c>
      <c r="JC47" s="1">
        <v>5.08</v>
      </c>
      <c r="JD47" s="1">
        <v>5.0999999999999996</v>
      </c>
      <c r="JE47" s="1">
        <v>5.12</v>
      </c>
      <c r="JF47" s="1">
        <v>5.14</v>
      </c>
      <c r="JG47" s="1">
        <v>5.16</v>
      </c>
      <c r="JH47" s="1">
        <v>5.18</v>
      </c>
      <c r="JI47" s="1">
        <v>5.2</v>
      </c>
      <c r="JJ47" s="1">
        <v>5.22</v>
      </c>
      <c r="JK47" s="1">
        <v>5.24</v>
      </c>
      <c r="JL47" s="1">
        <v>5.26</v>
      </c>
      <c r="JM47" s="1">
        <v>5.28</v>
      </c>
      <c r="JN47" s="1">
        <v>5.3</v>
      </c>
      <c r="JO47" s="1">
        <v>5.32</v>
      </c>
      <c r="JP47" s="1">
        <v>5.34</v>
      </c>
      <c r="JQ47" s="1">
        <v>5.36</v>
      </c>
      <c r="JR47" s="1">
        <v>5.38</v>
      </c>
      <c r="JS47" s="1">
        <v>5.4</v>
      </c>
      <c r="JT47" s="1">
        <v>5.42</v>
      </c>
      <c r="JU47" s="1">
        <v>5.44</v>
      </c>
      <c r="JV47" s="1">
        <v>5.46</v>
      </c>
      <c r="JW47" s="1">
        <v>5.48</v>
      </c>
      <c r="JX47" s="1">
        <v>5.5</v>
      </c>
      <c r="JY47" s="1">
        <v>5.52</v>
      </c>
      <c r="JZ47" s="1">
        <v>5.54</v>
      </c>
      <c r="KA47" s="1">
        <v>5.56</v>
      </c>
      <c r="KB47" s="1">
        <v>5.58</v>
      </c>
      <c r="KC47" s="1">
        <v>5.6</v>
      </c>
      <c r="KD47" s="1">
        <v>5.62</v>
      </c>
      <c r="KE47" s="1">
        <v>5.64</v>
      </c>
      <c r="KF47" s="1">
        <v>5.66</v>
      </c>
      <c r="KG47" s="1">
        <v>5.68</v>
      </c>
      <c r="KH47" s="1">
        <v>5.7</v>
      </c>
      <c r="KI47" s="1">
        <v>5.72</v>
      </c>
      <c r="KJ47" s="1">
        <v>5.74</v>
      </c>
      <c r="KK47" s="1">
        <v>5.76</v>
      </c>
      <c r="KL47" s="1">
        <v>5.78</v>
      </c>
      <c r="KM47" s="1">
        <v>5.8</v>
      </c>
      <c r="KN47" s="1">
        <v>5.82</v>
      </c>
      <c r="KO47" s="1">
        <v>5.84</v>
      </c>
      <c r="KP47" s="1">
        <v>5.86</v>
      </c>
      <c r="KQ47" s="1">
        <v>5.88</v>
      </c>
      <c r="KR47" s="1">
        <v>5.9</v>
      </c>
      <c r="KS47" s="1">
        <v>5.92</v>
      </c>
      <c r="KT47" s="1">
        <v>5.94</v>
      </c>
      <c r="KU47" s="1">
        <v>5.96</v>
      </c>
      <c r="KV47" s="1">
        <v>5.98</v>
      </c>
      <c r="KW47" s="1">
        <v>6</v>
      </c>
      <c r="KX47" s="1">
        <v>6.02</v>
      </c>
      <c r="KY47" s="1">
        <v>6.04</v>
      </c>
      <c r="KZ47" s="1">
        <v>6.06</v>
      </c>
      <c r="LA47" s="1">
        <v>6.08</v>
      </c>
      <c r="LB47" s="1">
        <v>6.1</v>
      </c>
      <c r="LC47" s="1">
        <v>6.12</v>
      </c>
      <c r="LD47" s="1">
        <v>6.14</v>
      </c>
      <c r="LE47" s="1">
        <v>6.16</v>
      </c>
      <c r="LF47" s="1">
        <v>6.18</v>
      </c>
      <c r="LG47" s="1">
        <v>6.2</v>
      </c>
      <c r="LH47" s="1">
        <v>6.22</v>
      </c>
      <c r="LI47" s="1">
        <v>6.24</v>
      </c>
      <c r="LJ47" s="1">
        <v>6.26</v>
      </c>
      <c r="LK47" s="1">
        <v>6.28</v>
      </c>
      <c r="LL47" s="1">
        <v>6.3</v>
      </c>
      <c r="LM47" s="1">
        <v>6.32</v>
      </c>
      <c r="LN47" s="1">
        <v>6.34</v>
      </c>
      <c r="LO47" s="1">
        <v>6.36</v>
      </c>
      <c r="LP47" s="1">
        <v>6.38</v>
      </c>
      <c r="LQ47" s="1">
        <v>6.4</v>
      </c>
      <c r="LR47" s="1">
        <v>6.42</v>
      </c>
      <c r="LS47" s="1">
        <v>6.44</v>
      </c>
      <c r="LT47" s="1">
        <v>6.46</v>
      </c>
      <c r="LU47" s="1">
        <v>6.48</v>
      </c>
      <c r="LV47" s="1">
        <v>6.5</v>
      </c>
      <c r="LW47" s="1">
        <v>6.52</v>
      </c>
      <c r="LX47" s="1">
        <v>6.54</v>
      </c>
      <c r="LY47" s="1">
        <v>6.56</v>
      </c>
      <c r="LZ47" s="1">
        <v>6.58</v>
      </c>
      <c r="MA47" s="1">
        <v>6.6</v>
      </c>
      <c r="MB47" s="1">
        <v>6.62</v>
      </c>
      <c r="MC47" s="1">
        <v>6.64</v>
      </c>
      <c r="MD47" s="1">
        <v>6.66</v>
      </c>
      <c r="ME47" s="1">
        <v>6.68</v>
      </c>
      <c r="MF47" s="1">
        <v>6.7</v>
      </c>
      <c r="MG47" s="1">
        <v>6.72</v>
      </c>
      <c r="MH47" s="1">
        <v>6.74</v>
      </c>
      <c r="MI47" s="1">
        <v>6.76</v>
      </c>
      <c r="MJ47" s="1">
        <v>6.78</v>
      </c>
      <c r="MK47" s="1">
        <v>6.8</v>
      </c>
      <c r="ML47" s="1">
        <v>6.82</v>
      </c>
      <c r="MM47" s="1">
        <v>6.84</v>
      </c>
      <c r="MN47" s="1">
        <v>6.86</v>
      </c>
      <c r="MO47" s="1">
        <v>6.88</v>
      </c>
      <c r="MP47" s="1">
        <v>6.9</v>
      </c>
      <c r="MQ47" s="1">
        <v>6.92</v>
      </c>
      <c r="MR47" s="1">
        <v>6.94</v>
      </c>
      <c r="MS47" s="1">
        <v>6.96</v>
      </c>
      <c r="MT47" s="1">
        <v>6.98</v>
      </c>
      <c r="MU47" s="1">
        <v>7</v>
      </c>
      <c r="MV47" s="1">
        <v>7.02</v>
      </c>
      <c r="MW47" s="1">
        <v>7.04</v>
      </c>
      <c r="MX47" s="1">
        <v>7.06</v>
      </c>
      <c r="MY47" s="1">
        <v>7.08</v>
      </c>
      <c r="MZ47" s="1">
        <v>7.1</v>
      </c>
      <c r="NA47" s="1">
        <v>7.12</v>
      </c>
      <c r="NB47" s="1">
        <v>7.14</v>
      </c>
      <c r="NC47" s="1">
        <v>7.16</v>
      </c>
      <c r="ND47" s="1">
        <v>7.18</v>
      </c>
      <c r="NE47" s="1">
        <v>7.2</v>
      </c>
      <c r="NF47" s="1">
        <v>7.22</v>
      </c>
      <c r="NG47" s="1">
        <v>7.24</v>
      </c>
      <c r="NH47" s="1">
        <v>7.26</v>
      </c>
      <c r="NI47" s="1">
        <v>7.28</v>
      </c>
      <c r="NJ47" s="1">
        <v>7.3</v>
      </c>
      <c r="NK47" s="1">
        <v>7.32</v>
      </c>
      <c r="NL47" s="1">
        <v>7.34</v>
      </c>
      <c r="NM47" s="1">
        <v>7.36</v>
      </c>
      <c r="NN47" s="1">
        <v>7.38</v>
      </c>
      <c r="NO47" s="1">
        <v>7.4</v>
      </c>
      <c r="NP47" s="1">
        <v>7.42</v>
      </c>
      <c r="NQ47" s="1">
        <v>7.44</v>
      </c>
      <c r="NR47" s="1">
        <v>7.46</v>
      </c>
      <c r="NS47" s="1">
        <v>7.48</v>
      </c>
      <c r="NT47" s="1">
        <v>7.5</v>
      </c>
      <c r="NU47" s="1">
        <v>7.52</v>
      </c>
      <c r="NV47" s="1">
        <v>7.54</v>
      </c>
      <c r="NW47" s="1">
        <v>7.56</v>
      </c>
      <c r="NX47" s="1">
        <v>7.58</v>
      </c>
      <c r="NY47" s="1">
        <v>7.6</v>
      </c>
      <c r="NZ47" s="1">
        <v>7.62</v>
      </c>
      <c r="OA47" s="1">
        <v>7.64</v>
      </c>
      <c r="OB47" s="1">
        <v>7.66</v>
      </c>
      <c r="OC47" s="1">
        <v>7.68</v>
      </c>
      <c r="OD47" s="1">
        <v>7.7</v>
      </c>
      <c r="OE47" s="1">
        <v>7.72</v>
      </c>
      <c r="OF47" s="1">
        <v>7.74</v>
      </c>
      <c r="OG47" s="1">
        <v>7.76</v>
      </c>
      <c r="OH47" s="1">
        <v>7.78</v>
      </c>
      <c r="OI47" s="1">
        <v>7.8</v>
      </c>
      <c r="OJ47" s="1">
        <v>7.82</v>
      </c>
      <c r="OK47" s="1">
        <v>7.84</v>
      </c>
      <c r="OL47" s="1">
        <v>7.86</v>
      </c>
      <c r="OM47" s="1">
        <v>7.88</v>
      </c>
      <c r="ON47" s="1">
        <v>7.9</v>
      </c>
      <c r="OO47" s="1">
        <v>7.92</v>
      </c>
      <c r="OP47" s="1">
        <v>7.94</v>
      </c>
      <c r="OQ47" s="1">
        <v>7.96</v>
      </c>
      <c r="OR47" s="1">
        <v>7.98</v>
      </c>
      <c r="OS47" s="1">
        <v>8</v>
      </c>
      <c r="OT47" s="1">
        <v>8.02</v>
      </c>
      <c r="OU47" s="1">
        <v>8.0399999999999991</v>
      </c>
      <c r="OV47" s="1">
        <v>8.06</v>
      </c>
      <c r="OW47" s="1">
        <v>8.08</v>
      </c>
      <c r="OX47" s="1">
        <v>8.1</v>
      </c>
      <c r="OY47" s="1">
        <v>8.1199999999999992</v>
      </c>
      <c r="OZ47" s="1">
        <v>8.14</v>
      </c>
      <c r="PA47" s="1">
        <v>8.16</v>
      </c>
      <c r="PB47" s="1">
        <v>8.18</v>
      </c>
      <c r="PC47" s="1">
        <v>8.1999999999999993</v>
      </c>
      <c r="PD47" s="1">
        <v>8.2200000000000006</v>
      </c>
      <c r="PE47" s="1">
        <v>8.24</v>
      </c>
      <c r="PF47" s="1">
        <v>8.26</v>
      </c>
      <c r="PG47" s="1">
        <v>8.2799999999999994</v>
      </c>
      <c r="PH47" s="1">
        <v>8.3000000000000007</v>
      </c>
      <c r="PI47" s="1">
        <v>8.32</v>
      </c>
      <c r="PJ47" s="1">
        <v>8.34</v>
      </c>
      <c r="PK47" s="1">
        <v>8.36</v>
      </c>
      <c r="PL47" s="1">
        <v>8.3800000000000008</v>
      </c>
      <c r="PM47" s="1">
        <v>8.4</v>
      </c>
      <c r="PN47" s="1">
        <v>8.42</v>
      </c>
      <c r="PO47" s="1">
        <v>8.44</v>
      </c>
      <c r="PP47" s="1">
        <v>8.4600000000000009</v>
      </c>
      <c r="PQ47" s="1">
        <v>8.48</v>
      </c>
      <c r="PR47" s="1">
        <v>8.5</v>
      </c>
      <c r="PS47" s="1">
        <v>8.52</v>
      </c>
      <c r="PT47" s="1">
        <v>8.5399999999999991</v>
      </c>
      <c r="PU47" s="1">
        <v>8.56</v>
      </c>
      <c r="PV47" s="1">
        <v>8.58</v>
      </c>
      <c r="PW47" s="1">
        <v>8.6</v>
      </c>
      <c r="PX47" s="1">
        <v>8.6199999999999992</v>
      </c>
      <c r="PY47" s="1">
        <v>8.64</v>
      </c>
      <c r="PZ47" s="1">
        <v>8.66</v>
      </c>
      <c r="QA47" s="1">
        <v>8.68</v>
      </c>
      <c r="QB47" s="1">
        <v>8.6999999999999993</v>
      </c>
      <c r="QC47" s="1">
        <v>8.7200000000000006</v>
      </c>
      <c r="QD47" s="1">
        <v>8.74</v>
      </c>
      <c r="QE47" s="1">
        <v>8.76</v>
      </c>
      <c r="QF47" s="1">
        <v>8.7799999999999994</v>
      </c>
      <c r="QG47" s="1">
        <v>8.8000000000000007</v>
      </c>
      <c r="QH47" s="1">
        <v>8.82</v>
      </c>
      <c r="QI47" s="1">
        <v>8.84</v>
      </c>
      <c r="QJ47" s="1">
        <v>8.86</v>
      </c>
      <c r="QK47" s="1">
        <v>8.8800000000000008</v>
      </c>
      <c r="QL47" s="1">
        <v>8.9</v>
      </c>
      <c r="QM47" s="1">
        <v>8.92</v>
      </c>
      <c r="QN47" s="1">
        <v>8.94</v>
      </c>
      <c r="QO47" s="1">
        <v>8.9600000000000009</v>
      </c>
      <c r="QP47" s="1">
        <v>8.98</v>
      </c>
      <c r="QQ47" s="1">
        <v>9</v>
      </c>
      <c r="QR47" s="1">
        <v>9.02</v>
      </c>
      <c r="QS47" s="1">
        <v>9.0399999999999991</v>
      </c>
      <c r="QT47" s="1">
        <v>9.06</v>
      </c>
      <c r="QU47" s="1">
        <v>9.08</v>
      </c>
      <c r="QV47" s="1">
        <v>9.1</v>
      </c>
      <c r="QW47" s="1">
        <v>9.1199999999999992</v>
      </c>
      <c r="QX47" s="1">
        <v>9.1400000000000095</v>
      </c>
      <c r="QY47" s="1">
        <v>9.16</v>
      </c>
      <c r="QZ47" s="1">
        <v>9.18</v>
      </c>
      <c r="RA47" s="1">
        <v>9.1999999999999993</v>
      </c>
      <c r="RB47" s="1">
        <v>9.2200000000000095</v>
      </c>
      <c r="RC47" s="1">
        <v>9.24</v>
      </c>
      <c r="RD47" s="1">
        <v>9.26</v>
      </c>
      <c r="RE47" s="1">
        <v>9.2799999999999994</v>
      </c>
      <c r="RF47" s="1">
        <v>9.3000000000000096</v>
      </c>
      <c r="RG47" s="1">
        <v>9.32</v>
      </c>
      <c r="RH47" s="1">
        <v>9.34</v>
      </c>
      <c r="RI47" s="1">
        <v>9.36</v>
      </c>
      <c r="RJ47" s="1">
        <v>9.3800000000000097</v>
      </c>
      <c r="RK47" s="1">
        <v>9.4</v>
      </c>
      <c r="RL47" s="1">
        <v>9.42</v>
      </c>
      <c r="RM47" s="1">
        <v>9.44</v>
      </c>
      <c r="RN47" s="1">
        <v>9.4600000000000097</v>
      </c>
      <c r="RO47" s="1">
        <v>9.48</v>
      </c>
      <c r="RP47" s="1">
        <v>9.5</v>
      </c>
      <c r="RQ47" s="1">
        <v>9.52</v>
      </c>
      <c r="RR47" s="1">
        <v>9.5400000000000098</v>
      </c>
      <c r="RS47" s="1">
        <v>9.56</v>
      </c>
      <c r="RT47" s="1">
        <v>9.58</v>
      </c>
      <c r="RU47" s="1">
        <v>9.6000000000000103</v>
      </c>
      <c r="RV47" s="1">
        <v>9.6200000000000099</v>
      </c>
      <c r="RW47" s="1">
        <v>9.6400000000000095</v>
      </c>
      <c r="RX47" s="1">
        <v>9.66</v>
      </c>
      <c r="RY47" s="1">
        <v>9.6800000000000104</v>
      </c>
      <c r="RZ47" s="1">
        <v>9.7000000000000099</v>
      </c>
      <c r="SA47" s="1">
        <v>9.7200000000000095</v>
      </c>
      <c r="SB47" s="1">
        <v>9.74</v>
      </c>
      <c r="SC47" s="1">
        <v>9.7600000000000104</v>
      </c>
      <c r="SD47" s="1">
        <v>9.78000000000001</v>
      </c>
      <c r="SE47" s="1">
        <v>9.8000000000000096</v>
      </c>
      <c r="SF47" s="1">
        <v>9.82</v>
      </c>
      <c r="SG47" s="1">
        <v>9.8400000000000105</v>
      </c>
      <c r="SH47" s="1">
        <v>9.8600000000000101</v>
      </c>
      <c r="SI47" s="1">
        <v>9.8800000000000097</v>
      </c>
      <c r="SJ47" s="1">
        <v>9.9</v>
      </c>
      <c r="SK47" s="1">
        <v>9.9200000000000106</v>
      </c>
      <c r="SL47" s="1">
        <v>9.9400000000000102</v>
      </c>
      <c r="SM47" s="1">
        <v>9.9600000000000097</v>
      </c>
      <c r="SN47" s="1">
        <v>9.98</v>
      </c>
      <c r="SO47" s="1">
        <v>10</v>
      </c>
      <c r="SP47" s="1">
        <v>10.02</v>
      </c>
      <c r="SQ47" s="1">
        <v>10.039999999999999</v>
      </c>
      <c r="SR47" s="1">
        <v>10.06</v>
      </c>
      <c r="SS47" s="1">
        <v>10.08</v>
      </c>
      <c r="ST47" s="1">
        <v>10.1</v>
      </c>
      <c r="SU47" s="1">
        <v>10.119999999999999</v>
      </c>
      <c r="SV47" s="1">
        <v>10.14</v>
      </c>
      <c r="SW47" s="1">
        <v>10.16</v>
      </c>
      <c r="SX47" s="1">
        <v>10.18</v>
      </c>
      <c r="SY47" s="1">
        <v>10.199999999999999</v>
      </c>
      <c r="SZ47" s="1">
        <v>10.220000000000001</v>
      </c>
      <c r="TA47" s="1">
        <v>10.24</v>
      </c>
      <c r="TB47" s="1">
        <v>10.26</v>
      </c>
      <c r="TC47" s="1">
        <v>10.28</v>
      </c>
      <c r="TD47" s="1">
        <v>10.3</v>
      </c>
      <c r="TE47" s="1">
        <v>10.32</v>
      </c>
      <c r="TF47" s="1">
        <v>10.34</v>
      </c>
      <c r="TG47" s="1">
        <v>10.36</v>
      </c>
      <c r="TH47" s="1">
        <v>10.38</v>
      </c>
      <c r="TI47" s="1">
        <v>10.4</v>
      </c>
      <c r="TJ47" s="1">
        <v>10.42</v>
      </c>
      <c r="TK47" s="1">
        <v>10.44</v>
      </c>
      <c r="TL47" s="1">
        <v>10.46</v>
      </c>
      <c r="TM47" s="1">
        <v>10.48</v>
      </c>
      <c r="TN47" s="1">
        <v>10.5</v>
      </c>
      <c r="TO47" s="1">
        <v>10.52</v>
      </c>
      <c r="TP47" s="1">
        <v>10.54</v>
      </c>
      <c r="TQ47" s="1">
        <v>10.56</v>
      </c>
      <c r="TR47" s="1">
        <v>10.58</v>
      </c>
      <c r="TS47" s="1">
        <v>10.6</v>
      </c>
      <c r="TT47" s="1">
        <v>10.62</v>
      </c>
      <c r="TU47" s="1">
        <v>10.64</v>
      </c>
      <c r="TV47" s="1">
        <v>10.66</v>
      </c>
      <c r="TW47" s="1">
        <v>10.68</v>
      </c>
      <c r="TX47" s="1">
        <v>10.7</v>
      </c>
      <c r="TY47" s="1">
        <v>10.72</v>
      </c>
      <c r="TZ47" s="1">
        <v>10.74</v>
      </c>
      <c r="UA47" s="1">
        <v>10.76</v>
      </c>
      <c r="UB47" s="1">
        <v>10.78</v>
      </c>
      <c r="UC47" s="1">
        <v>10.8</v>
      </c>
      <c r="UD47" s="1">
        <v>10.82</v>
      </c>
      <c r="UE47" s="1">
        <v>10.84</v>
      </c>
      <c r="UF47" s="1">
        <v>10.86</v>
      </c>
      <c r="UG47" s="1">
        <v>10.88</v>
      </c>
      <c r="UH47" s="1">
        <v>10.9</v>
      </c>
      <c r="UI47" s="1">
        <v>10.92</v>
      </c>
      <c r="UJ47" s="1">
        <v>10.94</v>
      </c>
      <c r="UK47" s="1">
        <v>10.96</v>
      </c>
      <c r="UL47" s="1">
        <v>10.98</v>
      </c>
      <c r="UM47" s="1">
        <v>11</v>
      </c>
      <c r="UN47" s="1">
        <v>11.02</v>
      </c>
      <c r="UO47" s="1">
        <v>11.04</v>
      </c>
      <c r="UP47" s="1">
        <v>11.06</v>
      </c>
      <c r="UQ47" s="1">
        <v>11.08</v>
      </c>
      <c r="UR47" s="1">
        <v>11.1</v>
      </c>
      <c r="US47" s="1">
        <v>11.12</v>
      </c>
      <c r="UT47" s="1">
        <v>11.14</v>
      </c>
      <c r="UU47" s="1">
        <v>11.16</v>
      </c>
      <c r="UV47" s="1">
        <v>11.18</v>
      </c>
      <c r="UW47" s="1">
        <v>11.2</v>
      </c>
      <c r="UX47" s="1">
        <v>11.22</v>
      </c>
      <c r="UY47" s="1">
        <v>11.24</v>
      </c>
      <c r="UZ47" s="1">
        <v>11.26</v>
      </c>
      <c r="VA47" s="1">
        <v>11.28</v>
      </c>
      <c r="VB47" s="1">
        <v>11.3</v>
      </c>
      <c r="VC47" s="1">
        <v>11.32</v>
      </c>
      <c r="VD47" s="1">
        <v>11.34</v>
      </c>
      <c r="VE47" s="1">
        <v>11.36</v>
      </c>
      <c r="VF47" s="1">
        <v>11.38</v>
      </c>
      <c r="VG47" s="1">
        <v>11.4</v>
      </c>
      <c r="VH47" s="1">
        <v>11.42</v>
      </c>
      <c r="VI47" s="1">
        <v>11.44</v>
      </c>
      <c r="VJ47" s="1">
        <v>11.46</v>
      </c>
      <c r="VK47" s="1">
        <v>11.48</v>
      </c>
      <c r="VL47" s="1">
        <v>11.5</v>
      </c>
      <c r="VM47" s="1">
        <v>11.52</v>
      </c>
      <c r="VN47" s="1">
        <v>11.54</v>
      </c>
      <c r="VO47" s="1">
        <v>11.56</v>
      </c>
      <c r="VP47" s="1">
        <v>11.58</v>
      </c>
      <c r="VQ47" s="1">
        <v>11.6</v>
      </c>
      <c r="VR47" s="1">
        <v>11.62</v>
      </c>
      <c r="VS47" s="1">
        <v>11.64</v>
      </c>
      <c r="VT47" s="1">
        <v>11.66</v>
      </c>
      <c r="VU47" s="1">
        <v>11.68</v>
      </c>
      <c r="VV47" s="1">
        <v>11.7</v>
      </c>
      <c r="VW47" s="1">
        <v>11.72</v>
      </c>
      <c r="VX47" s="1">
        <v>11.74</v>
      </c>
      <c r="VY47" s="1">
        <v>11.76</v>
      </c>
      <c r="VZ47" s="1">
        <v>11.78</v>
      </c>
      <c r="WA47" s="1">
        <v>11.8</v>
      </c>
      <c r="WB47" s="1">
        <v>11.82</v>
      </c>
      <c r="WC47" s="1">
        <v>11.84</v>
      </c>
      <c r="WD47" s="1">
        <v>11.86</v>
      </c>
      <c r="WE47" s="1">
        <v>11.88</v>
      </c>
      <c r="WF47" s="1">
        <v>11.9</v>
      </c>
      <c r="WG47" s="1">
        <v>11.92</v>
      </c>
      <c r="WH47" s="1">
        <v>11.94</v>
      </c>
      <c r="WI47" s="1">
        <v>11.96</v>
      </c>
      <c r="WJ47" s="1">
        <v>11.98</v>
      </c>
      <c r="WK47" s="1">
        <v>12</v>
      </c>
      <c r="WL47" s="1">
        <v>12.02</v>
      </c>
      <c r="WM47" s="1">
        <v>12.04</v>
      </c>
      <c r="WN47" s="1">
        <v>12.06</v>
      </c>
    </row>
    <row r="48" spans="2:612" x14ac:dyDescent="0.25">
      <c r="B48">
        <v>1</v>
      </c>
      <c r="C48">
        <f>C49+0.8</f>
        <v>3.2625000000000002</v>
      </c>
      <c r="D48">
        <v>0.89</v>
      </c>
      <c r="J48">
        <f>(($C49+0.4)*TAN(RADIANS(J$47))*$D48*0.8*1000*9.8*$C48)+((0.8*TAN(RADIANS(J$47)))*0.8/2*$D48*1000*9.8)*($C48+0.8/6)</f>
        <v>26.05464576364465</v>
      </c>
      <c r="K48">
        <f>(($C49+0.4)*TAN(RADIANS(K$47))*$D48*0.8*1000*9.8*$C48)+((0.8*TAN(RADIANS(K$47)))*0.8/2*$D48*1000*9.8)*($C48+0.8/6)</f>
        <v>52.109297876649769</v>
      </c>
      <c r="L48">
        <f t="shared" ref="K48:BV51" si="35">(($C49+0.4)*TAN(RADIANS(L$47))*$D48*0.8*1000*9.8*$C48)+((0.8*TAN(RADIANS(L$47)))*0.8/2*$D48*1000*9.8)*($C48+0.8/6)</f>
        <v>78.163962688381972</v>
      </c>
      <c r="M48">
        <f t="shared" si="35"/>
        <v>104.21864654822036</v>
      </c>
      <c r="N48">
        <f t="shared" si="35"/>
        <v>130.27335580556246</v>
      </c>
      <c r="O48">
        <f t="shared" si="35"/>
        <v>156.32809680983067</v>
      </c>
      <c r="P48">
        <f t="shared" si="35"/>
        <v>182.38287591047828</v>
      </c>
      <c r="Q48">
        <f t="shared" si="35"/>
        <v>208.43769945699572</v>
      </c>
      <c r="R48">
        <f t="shared" si="35"/>
        <v>234.49257379891668</v>
      </c>
      <c r="S48">
        <f t="shared" si="35"/>
        <v>260.54750528582463</v>
      </c>
      <c r="T48">
        <f t="shared" si="35"/>
        <v>286.60250026735832</v>
      </c>
      <c r="U48">
        <f t="shared" si="35"/>
        <v>312.65756509321886</v>
      </c>
      <c r="V48">
        <f t="shared" si="35"/>
        <v>338.71270611317499</v>
      </c>
      <c r="W48">
        <f t="shared" si="35"/>
        <v>364.76792967707013</v>
      </c>
      <c r="X48">
        <f t="shared" si="35"/>
        <v>390.82324213482781</v>
      </c>
      <c r="Y48">
        <f t="shared" si="35"/>
        <v>416.87864983645841</v>
      </c>
      <c r="Z48">
        <f t="shared" si="35"/>
        <v>442.93415913206525</v>
      </c>
      <c r="AA48">
        <f t="shared" si="35"/>
        <v>468.98977637185038</v>
      </c>
      <c r="AB48">
        <f t="shared" si="35"/>
        <v>495.0455079061216</v>
      </c>
      <c r="AC48">
        <f t="shared" si="35"/>
        <v>521.10136008529742</v>
      </c>
      <c r="AD48">
        <f t="shared" si="35"/>
        <v>547.15733925991435</v>
      </c>
      <c r="AE48">
        <f t="shared" si="35"/>
        <v>573.21345178063291</v>
      </c>
      <c r="AF48">
        <f t="shared" si="35"/>
        <v>599.26970399824336</v>
      </c>
      <c r="AG48">
        <f t="shared" si="35"/>
        <v>625.32610226367171</v>
      </c>
      <c r="AH48">
        <f t="shared" si="35"/>
        <v>651.38265292798769</v>
      </c>
      <c r="AI48">
        <f t="shared" si="35"/>
        <v>677.43936234240789</v>
      </c>
      <c r="AJ48">
        <f t="shared" si="35"/>
        <v>703.49623685830488</v>
      </c>
      <c r="AK48">
        <f t="shared" si="35"/>
        <v>729.55328282721166</v>
      </c>
      <c r="AL48">
        <f t="shared" si="35"/>
        <v>755.61050660082867</v>
      </c>
      <c r="AM48">
        <f t="shared" si="35"/>
        <v>781.66791453102917</v>
      </c>
      <c r="AN48">
        <f t="shared" si="35"/>
        <v>807.72551296986683</v>
      </c>
      <c r="AO48">
        <f t="shared" si="35"/>
        <v>833.78330826958017</v>
      </c>
      <c r="AP48">
        <f t="shared" si="35"/>
        <v>859.84130678260033</v>
      </c>
      <c r="AQ48">
        <f t="shared" si="35"/>
        <v>885.8995148615561</v>
      </c>
      <c r="AR48">
        <f t="shared" si="35"/>
        <v>911.95793885928072</v>
      </c>
      <c r="AS48">
        <f t="shared" si="35"/>
        <v>938.01658512881761</v>
      </c>
      <c r="AT48">
        <f t="shared" si="35"/>
        <v>964.07546002342838</v>
      </c>
      <c r="AU48">
        <f t="shared" si="35"/>
        <v>990.13456989659551</v>
      </c>
      <c r="AV48">
        <f t="shared" si="35"/>
        <v>1016.1939211020319</v>
      </c>
      <c r="AW48">
        <f t="shared" si="35"/>
        <v>1042.2535199936851</v>
      </c>
      <c r="AX48">
        <f t="shared" si="35"/>
        <v>1068.3133729257445</v>
      </c>
      <c r="AY48">
        <f t="shared" si="35"/>
        <v>1094.3734862526478</v>
      </c>
      <c r="AZ48">
        <f t="shared" si="35"/>
        <v>1120.4338663290848</v>
      </c>
      <c r="BA48">
        <f t="shared" si="35"/>
        <v>1146.4945195100076</v>
      </c>
      <c r="BB48">
        <f t="shared" si="35"/>
        <v>1172.5554521506328</v>
      </c>
      <c r="BC48">
        <f t="shared" si="35"/>
        <v>1198.6166706064507</v>
      </c>
      <c r="BD48">
        <f t="shared" si="35"/>
        <v>1224.6781812332299</v>
      </c>
      <c r="BE48">
        <f t="shared" si="35"/>
        <v>1250.7399903870239</v>
      </c>
      <c r="BF48">
        <f t="shared" si="35"/>
        <v>1276.8021044241768</v>
      </c>
      <c r="BG48">
        <f t="shared" si="35"/>
        <v>1302.8645297013311</v>
      </c>
      <c r="BH48">
        <f t="shared" si="35"/>
        <v>1328.9272725754322</v>
      </c>
      <c r="BI48">
        <f t="shared" si="35"/>
        <v>1354.9903394037349</v>
      </c>
      <c r="BJ48">
        <f t="shared" si="35"/>
        <v>1381.0537365438104</v>
      </c>
      <c r="BK48">
        <f t="shared" si="35"/>
        <v>1407.1174703535523</v>
      </c>
      <c r="BL48">
        <f t="shared" si="35"/>
        <v>1433.1815471911821</v>
      </c>
      <c r="BM48">
        <f t="shared" si="35"/>
        <v>1459.2459734152553</v>
      </c>
      <c r="BN48">
        <f t="shared" si="35"/>
        <v>1485.3107553846692</v>
      </c>
      <c r="BO48">
        <f t="shared" si="35"/>
        <v>1511.3758994586683</v>
      </c>
      <c r="BP48">
        <f t="shared" si="35"/>
        <v>1537.4414119968492</v>
      </c>
      <c r="BQ48">
        <f t="shared" si="35"/>
        <v>1563.507299359168</v>
      </c>
      <c r="BR48">
        <f t="shared" si="35"/>
        <v>1589.5735679059469</v>
      </c>
      <c r="BS48">
        <f t="shared" si="35"/>
        <v>1615.6402239978797</v>
      </c>
      <c r="BT48">
        <f t="shared" si="35"/>
        <v>1641.7072739960392</v>
      </c>
      <c r="BU48">
        <f t="shared" si="35"/>
        <v>1667.7747242618802</v>
      </c>
      <c r="BV48">
        <f t="shared" si="35"/>
        <v>1693.8425811572502</v>
      </c>
      <c r="BW48">
        <f t="shared" ref="BW48:EH51" si="36">(($C49+0.4)*TAN(RADIANS(BW$47))*$D48*0.8*1000*9.8*$C48)+((0.8*TAN(RADIANS(BW$47)))*0.8/2*$D48*1000*9.8)*($C48+0.8/6)</f>
        <v>1719.9108510443918</v>
      </c>
      <c r="BX48">
        <f t="shared" si="36"/>
        <v>1745.9795402859515</v>
      </c>
      <c r="BY48">
        <f t="shared" si="36"/>
        <v>1772.048655244985</v>
      </c>
      <c r="BZ48">
        <f t="shared" si="36"/>
        <v>1798.1182022849619</v>
      </c>
      <c r="CA48">
        <f t="shared" si="36"/>
        <v>1824.1881877697747</v>
      </c>
      <c r="CB48">
        <f t="shared" si="36"/>
        <v>1850.2586180637436</v>
      </c>
      <c r="CC48">
        <f t="shared" si="36"/>
        <v>1876.3294995316221</v>
      </c>
      <c r="CD48">
        <f t="shared" si="36"/>
        <v>1902.4008385386044</v>
      </c>
      <c r="CE48">
        <f t="shared" si="36"/>
        <v>1928.4726414503307</v>
      </c>
      <c r="CF48">
        <f t="shared" si="36"/>
        <v>1954.5449146328947</v>
      </c>
      <c r="CG48">
        <f t="shared" si="36"/>
        <v>1980.6176644528473</v>
      </c>
      <c r="CH48">
        <f t="shared" si="36"/>
        <v>2006.6908972772064</v>
      </c>
      <c r="CI48">
        <f t="shared" si="36"/>
        <v>2032.7646194734605</v>
      </c>
      <c r="CJ48">
        <f t="shared" si="36"/>
        <v>2058.8388374095748</v>
      </c>
      <c r="CK48">
        <f t="shared" si="36"/>
        <v>2084.9135574539996</v>
      </c>
      <c r="CL48">
        <f t="shared" si="36"/>
        <v>2110.9887859756745</v>
      </c>
      <c r="CM48">
        <f t="shared" si="36"/>
        <v>2137.0645293440343</v>
      </c>
      <c r="CN48">
        <f t="shared" si="36"/>
        <v>2163.1407939290193</v>
      </c>
      <c r="CO48">
        <f t="shared" si="36"/>
        <v>2189.2175861010755</v>
      </c>
      <c r="CP48">
        <f t="shared" si="36"/>
        <v>2215.2949122311647</v>
      </c>
      <c r="CQ48">
        <f t="shared" si="36"/>
        <v>2241.3727786907712</v>
      </c>
      <c r="CR48">
        <f t="shared" si="36"/>
        <v>2267.4511918519047</v>
      </c>
      <c r="CS48">
        <f t="shared" si="36"/>
        <v>2293.5301580871092</v>
      </c>
      <c r="CT48">
        <f t="shared" si="36"/>
        <v>2319.6096837694686</v>
      </c>
      <c r="CU48">
        <f t="shared" si="36"/>
        <v>2345.689775272615</v>
      </c>
      <c r="CV48">
        <f t="shared" si="36"/>
        <v>2371.7704389707283</v>
      </c>
      <c r="CW48">
        <f t="shared" si="36"/>
        <v>2397.8516812385515</v>
      </c>
      <c r="CX48">
        <f t="shared" si="36"/>
        <v>2423.9335084513887</v>
      </c>
      <c r="CY48">
        <f t="shared" si="36"/>
        <v>2450.0159269851188</v>
      </c>
      <c r="CZ48">
        <f t="shared" si="36"/>
        <v>2476.0989432161959</v>
      </c>
      <c r="DA48">
        <f t="shared" si="36"/>
        <v>2502.1825635216574</v>
      </c>
      <c r="DB48">
        <f t="shared" si="36"/>
        <v>2528.2667942791304</v>
      </c>
      <c r="DC48">
        <f t="shared" si="36"/>
        <v>2554.3516418668396</v>
      </c>
      <c r="DD48">
        <f t="shared" si="36"/>
        <v>2580.4371126636106</v>
      </c>
      <c r="DE48">
        <f t="shared" si="36"/>
        <v>2606.5232130488785</v>
      </c>
      <c r="DF48">
        <f t="shared" si="36"/>
        <v>2632.6099494026926</v>
      </c>
      <c r="DG48">
        <f t="shared" si="36"/>
        <v>2658.6973281057226</v>
      </c>
      <c r="DH48">
        <f t="shared" si="36"/>
        <v>2684.7853555392676</v>
      </c>
      <c r="DI48">
        <f t="shared" si="36"/>
        <v>2710.8740380852578</v>
      </c>
      <c r="DJ48">
        <f t="shared" si="36"/>
        <v>2736.9633821262651</v>
      </c>
      <c r="DK48">
        <f t="shared" si="36"/>
        <v>2763.0533940455075</v>
      </c>
      <c r="DL48">
        <f t="shared" si="36"/>
        <v>2789.1440802268517</v>
      </c>
      <c r="DM48">
        <f t="shared" si="36"/>
        <v>2815.2354470548289</v>
      </c>
      <c r="DN48">
        <f t="shared" si="36"/>
        <v>2841.3275009146323</v>
      </c>
      <c r="DO48">
        <f t="shared" si="36"/>
        <v>2867.4202481921238</v>
      </c>
      <c r="DP48">
        <f t="shared" si="36"/>
        <v>2893.5136952738471</v>
      </c>
      <c r="DQ48">
        <f t="shared" si="36"/>
        <v>2919.6078485470266</v>
      </c>
      <c r="DR48">
        <f t="shared" si="36"/>
        <v>2945.7027143995761</v>
      </c>
      <c r="DS48">
        <f t="shared" si="36"/>
        <v>2971.79829922011</v>
      </c>
      <c r="DT48">
        <f t="shared" si="36"/>
        <v>2997.8946093979421</v>
      </c>
      <c r="DU48">
        <f t="shared" si="36"/>
        <v>3023.9916513230928</v>
      </c>
      <c r="DV48">
        <f t="shared" si="36"/>
        <v>3050.0894313863014</v>
      </c>
      <c r="DW48">
        <f t="shared" si="36"/>
        <v>3076.1879559790245</v>
      </c>
      <c r="DX48">
        <f t="shared" si="36"/>
        <v>3102.2872314934507</v>
      </c>
      <c r="DY48">
        <f t="shared" si="36"/>
        <v>3128.3872643225009</v>
      </c>
      <c r="DZ48">
        <f t="shared" si="36"/>
        <v>3154.4880608598351</v>
      </c>
      <c r="EA48">
        <f t="shared" si="36"/>
        <v>3180.5896274998581</v>
      </c>
      <c r="EB48">
        <f t="shared" si="36"/>
        <v>3206.6919706377321</v>
      </c>
      <c r="EC48">
        <f t="shared" si="36"/>
        <v>3232.7950966693743</v>
      </c>
      <c r="ED48">
        <f t="shared" si="36"/>
        <v>3258.8990119914693</v>
      </c>
      <c r="EE48">
        <f t="shared" si="36"/>
        <v>3285.0037230014714</v>
      </c>
      <c r="EF48">
        <f t="shared" si="36"/>
        <v>3311.1092360976154</v>
      </c>
      <c r="EG48">
        <f t="shared" si="36"/>
        <v>3337.2155576789182</v>
      </c>
      <c r="EH48">
        <f t="shared" si="36"/>
        <v>3363.3226941451849</v>
      </c>
      <c r="EI48">
        <f t="shared" ref="EI48:GT51" si="37">(($C49+0.4)*TAN(RADIANS(EI$47))*$D48*0.8*1000*9.8*$C48)+((0.8*TAN(RADIANS(EI$47)))*0.8/2*$D48*1000*9.8)*($C48+0.8/6)</f>
        <v>3389.4306518970234</v>
      </c>
      <c r="EJ48">
        <f t="shared" si="37"/>
        <v>3415.539437335839</v>
      </c>
      <c r="EK48">
        <f t="shared" si="37"/>
        <v>3441.6490568638505</v>
      </c>
      <c r="EL48">
        <f t="shared" si="37"/>
        <v>3467.759516884089</v>
      </c>
      <c r="EM48">
        <f t="shared" si="37"/>
        <v>3493.8708238004074</v>
      </c>
      <c r="EN48">
        <f t="shared" si="37"/>
        <v>3519.9829840174907</v>
      </c>
      <c r="EO48">
        <f t="shared" si="37"/>
        <v>3546.0960039408546</v>
      </c>
      <c r="EP48">
        <f t="shared" si="37"/>
        <v>3572.2098899768562</v>
      </c>
      <c r="EQ48">
        <f t="shared" si="37"/>
        <v>3598.3246485327027</v>
      </c>
      <c r="ER48">
        <f t="shared" si="37"/>
        <v>3624.440286016451</v>
      </c>
      <c r="ES48">
        <f t="shared" si="37"/>
        <v>3650.5568088370187</v>
      </c>
      <c r="ET48">
        <f t="shared" si="37"/>
        <v>3676.6742234041903</v>
      </c>
      <c r="EU48">
        <f t="shared" si="37"/>
        <v>3702.7925361286225</v>
      </c>
      <c r="EV48">
        <f t="shared" si="37"/>
        <v>3728.9117534218512</v>
      </c>
      <c r="EW48">
        <f t="shared" si="37"/>
        <v>3755.0318816962958</v>
      </c>
      <c r="EX48">
        <f t="shared" si="37"/>
        <v>3781.1529273652695</v>
      </c>
      <c r="EY48">
        <f t="shared" si="37"/>
        <v>3807.2748968429783</v>
      </c>
      <c r="EZ48">
        <f t="shared" si="37"/>
        <v>3833.3977965445379</v>
      </c>
      <c r="FA48">
        <f t="shared" si="37"/>
        <v>3859.5216328859715</v>
      </c>
      <c r="FB48">
        <f t="shared" si="37"/>
        <v>3885.6464122842181</v>
      </c>
      <c r="FC48">
        <f t="shared" si="37"/>
        <v>3911.7721411571424</v>
      </c>
      <c r="FD48">
        <f t="shared" si="37"/>
        <v>3937.8988259235343</v>
      </c>
      <c r="FE48">
        <f t="shared" si="37"/>
        <v>3964.0264730031249</v>
      </c>
      <c r="FF48">
        <f t="shared" si="37"/>
        <v>3990.1550888165825</v>
      </c>
      <c r="FG48">
        <f t="shared" si="37"/>
        <v>4016.284679785525</v>
      </c>
      <c r="FH48">
        <f t="shared" si="37"/>
        <v>4042.4152523325242</v>
      </c>
      <c r="FI48">
        <f t="shared" si="37"/>
        <v>4068.5468128811158</v>
      </c>
      <c r="FJ48">
        <f t="shared" si="37"/>
        <v>4094.6793678558033</v>
      </c>
      <c r="FK48">
        <f t="shared" si="37"/>
        <v>4120.812923682056</v>
      </c>
      <c r="FL48">
        <f t="shared" si="37"/>
        <v>4146.947486786331</v>
      </c>
      <c r="FM48">
        <f t="shared" si="37"/>
        <v>4173.0830635960701</v>
      </c>
      <c r="FN48">
        <f t="shared" si="37"/>
        <v>4199.2196605397075</v>
      </c>
      <c r="FO48">
        <f t="shared" si="37"/>
        <v>4225.3572840466768</v>
      </c>
      <c r="FP48">
        <f t="shared" si="37"/>
        <v>4251.4959405474137</v>
      </c>
      <c r="FQ48">
        <f t="shared" si="37"/>
        <v>4277.6356364733701</v>
      </c>
      <c r="FR48">
        <f t="shared" si="37"/>
        <v>4303.7763782570146</v>
      </c>
      <c r="FS48">
        <f t="shared" si="37"/>
        <v>4329.9181723318379</v>
      </c>
      <c r="FT48">
        <f t="shared" si="37"/>
        <v>4356.0610251323669</v>
      </c>
      <c r="FU48">
        <f t="shared" si="37"/>
        <v>4382.2049430941597</v>
      </c>
      <c r="FV48">
        <f t="shared" si="37"/>
        <v>4408.3499326538231</v>
      </c>
      <c r="FW48">
        <f t="shared" si="37"/>
        <v>4434.4960002490079</v>
      </c>
      <c r="FX48">
        <f t="shared" si="37"/>
        <v>4460.6431523184301</v>
      </c>
      <c r="FY48">
        <f t="shared" si="37"/>
        <v>4486.7913953018588</v>
      </c>
      <c r="FZ48">
        <f t="shared" si="37"/>
        <v>4512.940735640138</v>
      </c>
      <c r="GA48">
        <f t="shared" si="37"/>
        <v>4539.0911797751878</v>
      </c>
      <c r="GB48">
        <f t="shared" si="37"/>
        <v>4565.2427341500043</v>
      </c>
      <c r="GC48">
        <f t="shared" si="37"/>
        <v>4591.3954052086783</v>
      </c>
      <c r="GD48">
        <f t="shared" si="37"/>
        <v>4617.5491993963915</v>
      </c>
      <c r="GE48">
        <f t="shared" si="37"/>
        <v>4643.7041231594276</v>
      </c>
      <c r="GF48">
        <f t="shared" si="37"/>
        <v>4669.86018294518</v>
      </c>
      <c r="GG48">
        <f t="shared" si="37"/>
        <v>4696.0173852021517</v>
      </c>
      <c r="GH48">
        <f t="shared" si="37"/>
        <v>4722.1757363799679</v>
      </c>
      <c r="GI48">
        <f t="shared" si="37"/>
        <v>4748.3352429293809</v>
      </c>
      <c r="GJ48">
        <f t="shared" si="37"/>
        <v>4774.4959113022742</v>
      </c>
      <c r="GK48">
        <f t="shared" si="37"/>
        <v>4800.6577479516754</v>
      </c>
      <c r="GL48">
        <f t="shared" si="37"/>
        <v>4826.8207593317511</v>
      </c>
      <c r="GM48">
        <f t="shared" si="37"/>
        <v>4852.9849518978226</v>
      </c>
      <c r="GN48">
        <f t="shared" si="37"/>
        <v>4879.1503321063756</v>
      </c>
      <c r="GO48">
        <f t="shared" si="37"/>
        <v>4905.3169064150507</v>
      </c>
      <c r="GP48">
        <f t="shared" si="37"/>
        <v>4931.4846812826681</v>
      </c>
      <c r="GQ48">
        <f t="shared" si="37"/>
        <v>4957.6536631692225</v>
      </c>
      <c r="GR48">
        <f t="shared" si="37"/>
        <v>4983.8238585358922</v>
      </c>
      <c r="GS48">
        <f t="shared" si="37"/>
        <v>5009.9952738450474</v>
      </c>
      <c r="GT48">
        <f t="shared" si="37"/>
        <v>5036.1679155602587</v>
      </c>
      <c r="GU48">
        <f t="shared" ref="GU48:HA51" si="38">(($C49+0.4)*TAN(RADIANS(GU$47))*$D48*0.8*1000*9.8*$C48)+((0.8*TAN(RADIANS(GU$47)))*0.8/2*$D48*1000*9.8)*($C48+0.8/6)</f>
        <v>5062.3417901462926</v>
      </c>
      <c r="GV48">
        <f t="shared" si="38"/>
        <v>5088.5169040691317</v>
      </c>
      <c r="GW48">
        <f t="shared" si="38"/>
        <v>5114.6932637959726</v>
      </c>
      <c r="GX48">
        <f t="shared" si="38"/>
        <v>5140.8708757952345</v>
      </c>
      <c r="GY48">
        <f t="shared" si="38"/>
        <v>5167.0497465365679</v>
      </c>
      <c r="GZ48">
        <f t="shared" si="38"/>
        <v>5193.2298824908585</v>
      </c>
      <c r="HA48">
        <f t="shared" si="38"/>
        <v>5219.4112901302315</v>
      </c>
      <c r="HB48">
        <f t="shared" ref="HB48:HK51" si="39">(($C49+0.4)*TAN(RADIANS(HB$47))*$D48*0.8*1000*9.8*$C48)+((0.8*TAN(RADIANS(HB$47)))*0.8/2*$D48*1000*9.8)*($C48+0.8/6)</f>
        <v>5245.5939759280654</v>
      </c>
      <c r="HC48">
        <f t="shared" si="39"/>
        <v>5271.7779463589895</v>
      </c>
      <c r="HD48">
        <f t="shared" si="39"/>
        <v>5297.9632078988934</v>
      </c>
      <c r="HE48">
        <f t="shared" si="39"/>
        <v>5324.1497670249419</v>
      </c>
      <c r="HF48">
        <f t="shared" si="39"/>
        <v>5350.3376302155666</v>
      </c>
      <c r="HG48">
        <f t="shared" si="39"/>
        <v>5376.5268039504854</v>
      </c>
      <c r="HH48">
        <f t="shared" si="39"/>
        <v>5402.7172947107001</v>
      </c>
      <c r="HI48">
        <f t="shared" si="39"/>
        <v>5428.909108978507</v>
      </c>
      <c r="HJ48">
        <f t="shared" si="39"/>
        <v>5455.1022532375027</v>
      </c>
      <c r="HK48">
        <f t="shared" si="39"/>
        <v>5481.2967339725919</v>
      </c>
      <c r="HL48">
        <f t="shared" ref="HL48:HU51" si="40">(($C49+0.4)*TAN(RADIANS(HL$47))*$D48*0.8*1000*9.8*$C48)+((0.8*TAN(RADIANS(HL$47)))*0.8/2*$D48*1000*9.8)*($C48+0.8/6)</f>
        <v>5507.4925576699916</v>
      </c>
      <c r="HM48">
        <f t="shared" si="40"/>
        <v>5533.6897308172393</v>
      </c>
      <c r="HN48">
        <f t="shared" si="40"/>
        <v>5559.8882599031958</v>
      </c>
      <c r="HO48">
        <f t="shared" si="40"/>
        <v>5586.0881514180574</v>
      </c>
      <c r="HP48">
        <f t="shared" si="40"/>
        <v>5612.2894118533568</v>
      </c>
      <c r="HQ48">
        <f t="shared" si="40"/>
        <v>5638.492047701975</v>
      </c>
      <c r="HR48">
        <f t="shared" si="40"/>
        <v>5664.696065458148</v>
      </c>
      <c r="HS48">
        <f t="shared" si="40"/>
        <v>5690.9014716174634</v>
      </c>
      <c r="HT48">
        <f t="shared" si="40"/>
        <v>5717.1082726768736</v>
      </c>
      <c r="HU48">
        <f t="shared" si="40"/>
        <v>5743.3164751347131</v>
      </c>
      <c r="HV48">
        <f t="shared" ref="HV48:IE51" si="41">(($C49+0.4)*TAN(RADIANS(HV$47))*$D48*0.8*1000*9.8*$C48)+((0.8*TAN(RADIANS(HV$47)))*0.8/2*$D48*1000*9.8)*($C48+0.8/6)</f>
        <v>5769.526085490681</v>
      </c>
      <c r="HW48">
        <f t="shared" si="41"/>
        <v>5795.7371102458719</v>
      </c>
      <c r="HX48">
        <f t="shared" si="41"/>
        <v>5821.9495559027628</v>
      </c>
      <c r="HY48">
        <f t="shared" si="41"/>
        <v>5848.1634289652375</v>
      </c>
      <c r="HZ48">
        <f t="shared" si="41"/>
        <v>5874.3787359385742</v>
      </c>
      <c r="IA48">
        <f t="shared" si="41"/>
        <v>5900.5954833294691</v>
      </c>
      <c r="IB48">
        <f t="shared" si="41"/>
        <v>5926.8136776460315</v>
      </c>
      <c r="IC48">
        <f t="shared" si="41"/>
        <v>5953.0333253977942</v>
      </c>
      <c r="ID48">
        <f t="shared" si="41"/>
        <v>5979.2544330957271</v>
      </c>
      <c r="IE48">
        <f t="shared" si="41"/>
        <v>6005.4770072522242</v>
      </c>
      <c r="IF48">
        <f t="shared" ref="IF48:IO51" si="42">(($C49+0.4)*TAN(RADIANS(IF$47))*$D48*0.8*1000*9.8*$C48)+((0.8*TAN(RADIANS(IF$47)))*0.8/2*$D48*1000*9.8)*($C48+0.8/6)</f>
        <v>6031.7010543811339</v>
      </c>
      <c r="IG48">
        <f t="shared" si="42"/>
        <v>6057.9265809977505</v>
      </c>
      <c r="IH48">
        <f t="shared" si="42"/>
        <v>6084.1535936188229</v>
      </c>
      <c r="II48">
        <f t="shared" si="42"/>
        <v>6110.3820987625641</v>
      </c>
      <c r="IJ48">
        <f t="shared" si="42"/>
        <v>6136.6121029486567</v>
      </c>
      <c r="IK48">
        <f t="shared" si="42"/>
        <v>6162.8436126982624</v>
      </c>
      <c r="IL48">
        <f t="shared" si="42"/>
        <v>6189.0766345340171</v>
      </c>
      <c r="IM48">
        <f t="shared" si="42"/>
        <v>6215.3111749800537</v>
      </c>
      <c r="IN48">
        <f t="shared" si="42"/>
        <v>6241.5472405619994</v>
      </c>
      <c r="IO48">
        <f t="shared" si="42"/>
        <v>6267.7848378069757</v>
      </c>
      <c r="IP48">
        <f t="shared" ref="IP48:IY51" si="43">(($C49+0.4)*TAN(RADIANS(IP$47))*$D48*0.8*1000*9.8*$C48)+((0.8*TAN(RADIANS(IP$47)))*0.8/2*$D48*1000*9.8)*($C48+0.8/6)</f>
        <v>6294.0239732436266</v>
      </c>
      <c r="IQ48">
        <f t="shared" si="43"/>
        <v>6320.2646534020987</v>
      </c>
      <c r="IR48">
        <f t="shared" si="43"/>
        <v>6346.5068848140681</v>
      </c>
      <c r="IS48">
        <f t="shared" si="43"/>
        <v>6372.7506740127337</v>
      </c>
      <c r="IT48">
        <f t="shared" si="43"/>
        <v>6398.996027532834</v>
      </c>
      <c r="IU48">
        <f t="shared" si="43"/>
        <v>6425.2429519106463</v>
      </c>
      <c r="IV48">
        <f t="shared" si="43"/>
        <v>6451.4914536840015</v>
      </c>
      <c r="IW48">
        <f t="shared" si="43"/>
        <v>6477.7415393922747</v>
      </c>
      <c r="IX48">
        <f t="shared" si="43"/>
        <v>6503.9932155764127</v>
      </c>
      <c r="IY48">
        <f t="shared" si="43"/>
        <v>6530.246488778922</v>
      </c>
      <c r="IZ48">
        <f t="shared" ref="IZ48:JI51" si="44">(($C49+0.4)*TAN(RADIANS(IZ$47))*$D48*0.8*1000*9.8*$C48)+((0.8*TAN(RADIANS(IZ$47)))*0.8/2*$D48*1000*9.8)*($C48+0.8/6)</f>
        <v>6556.5013655438897</v>
      </c>
      <c r="JA48">
        <f t="shared" si="44"/>
        <v>6582.7578524169812</v>
      </c>
      <c r="JB48">
        <f t="shared" si="44"/>
        <v>6609.0159559454487</v>
      </c>
      <c r="JC48">
        <f t="shared" si="44"/>
        <v>6635.275682678146</v>
      </c>
      <c r="JD48">
        <f t="shared" si="44"/>
        <v>6661.5370391655115</v>
      </c>
      <c r="JE48">
        <f t="shared" si="44"/>
        <v>6687.8000319596094</v>
      </c>
      <c r="JF48">
        <f t="shared" si="44"/>
        <v>6714.0646676141068</v>
      </c>
      <c r="JG48">
        <f t="shared" si="44"/>
        <v>6740.3309526842959</v>
      </c>
      <c r="JH48">
        <f t="shared" si="44"/>
        <v>6766.5988937270922</v>
      </c>
      <c r="JI48">
        <f t="shared" si="44"/>
        <v>6792.8684973010513</v>
      </c>
      <c r="JJ48">
        <f t="shared" ref="JJ48:JS51" si="45">(($C49+0.4)*TAN(RADIANS(JJ$47))*$D48*0.8*1000*9.8*$C48)+((0.8*TAN(RADIANS(JJ$47)))*0.8/2*$D48*1000*9.8)*($C48+0.8/6)</f>
        <v>6819.1397699663612</v>
      </c>
      <c r="JK48">
        <f t="shared" si="45"/>
        <v>6845.412718284867</v>
      </c>
      <c r="JL48">
        <f t="shared" si="45"/>
        <v>6871.6873488200608</v>
      </c>
      <c r="JM48">
        <f t="shared" si="45"/>
        <v>6897.9636681370957</v>
      </c>
      <c r="JN48">
        <f t="shared" si="45"/>
        <v>6924.2416828027945</v>
      </c>
      <c r="JO48">
        <f t="shared" si="45"/>
        <v>6950.5213993856514</v>
      </c>
      <c r="JP48">
        <f t="shared" si="45"/>
        <v>6976.8028244558409</v>
      </c>
      <c r="JQ48">
        <f t="shared" si="45"/>
        <v>7003.085964585227</v>
      </c>
      <c r="JR48">
        <f t="shared" si="45"/>
        <v>7029.3708263473654</v>
      </c>
      <c r="JS48">
        <f t="shared" si="45"/>
        <v>7055.6574163175146</v>
      </c>
      <c r="JT48">
        <f t="shared" ref="JT48:KC51" si="46">(($C49+0.4)*TAN(RADIANS(JT$47))*$D48*0.8*1000*9.8*$C48)+((0.8*TAN(RADIANS(JT$47)))*0.8/2*$D48*1000*9.8)*($C48+0.8/6)</f>
        <v>7081.9457410726345</v>
      </c>
      <c r="JU48">
        <f t="shared" si="46"/>
        <v>7108.2358071914059</v>
      </c>
      <c r="JV48">
        <f t="shared" si="46"/>
        <v>7134.527621254224</v>
      </c>
      <c r="JW48">
        <f t="shared" si="46"/>
        <v>7160.8211898432155</v>
      </c>
      <c r="JX48">
        <f t="shared" si="46"/>
        <v>7187.1165195422382</v>
      </c>
      <c r="JY48">
        <f t="shared" si="46"/>
        <v>7213.4136169368903</v>
      </c>
      <c r="JZ48">
        <f t="shared" si="46"/>
        <v>7239.7124886145202</v>
      </c>
      <c r="KA48">
        <f t="shared" si="46"/>
        <v>7266.0131411642215</v>
      </c>
      <c r="KB48">
        <f t="shared" si="46"/>
        <v>7292.3155811768629</v>
      </c>
      <c r="KC48">
        <f t="shared" si="46"/>
        <v>7318.6198152450634</v>
      </c>
      <c r="KD48">
        <f t="shared" ref="KD48:KM51" si="47">(($C49+0.4)*TAN(RADIANS(KD$47))*$D48*0.8*1000*9.8*$C48)+((0.8*TAN(RADIANS(KD$47)))*0.8/2*$D48*1000*9.8)*($C48+0.8/6)</f>
        <v>7344.9258499632324</v>
      </c>
      <c r="KE48">
        <f t="shared" si="47"/>
        <v>7371.2336919275431</v>
      </c>
      <c r="KF48">
        <f t="shared" si="47"/>
        <v>7397.5433477359693</v>
      </c>
      <c r="KG48">
        <f t="shared" si="47"/>
        <v>7423.8548239882721</v>
      </c>
      <c r="KH48">
        <f t="shared" si="47"/>
        <v>7450.1681272860187</v>
      </c>
      <c r="KI48">
        <f t="shared" si="47"/>
        <v>7476.4832642325737</v>
      </c>
      <c r="KJ48">
        <f t="shared" si="47"/>
        <v>7502.8002414331286</v>
      </c>
      <c r="KK48">
        <f t="shared" si="47"/>
        <v>7529.119065494684</v>
      </c>
      <c r="KL48">
        <f t="shared" si="47"/>
        <v>7555.4397430260778</v>
      </c>
      <c r="KM48">
        <f t="shared" si="47"/>
        <v>7581.7622806379723</v>
      </c>
      <c r="KN48">
        <f t="shared" ref="KN48:KW51" si="48">(($C49+0.4)*TAN(RADIANS(KN$47))*$D48*0.8*1000*9.8*$C48)+((0.8*TAN(RADIANS(KN$47)))*0.8/2*$D48*1000*9.8)*($C48+0.8/6)</f>
        <v>7608.0866849428812</v>
      </c>
      <c r="KO48">
        <f t="shared" si="48"/>
        <v>7634.4129625551577</v>
      </c>
      <c r="KP48">
        <f t="shared" si="48"/>
        <v>7660.7411200910174</v>
      </c>
      <c r="KQ48">
        <f t="shared" si="48"/>
        <v>7687.0711641685248</v>
      </c>
      <c r="KR48">
        <f t="shared" si="48"/>
        <v>7713.4031014076272</v>
      </c>
      <c r="KS48">
        <f t="shared" si="48"/>
        <v>7739.7369384301392</v>
      </c>
      <c r="KT48">
        <f t="shared" si="48"/>
        <v>7766.0726818597541</v>
      </c>
      <c r="KU48">
        <f t="shared" si="48"/>
        <v>7792.4103383220572</v>
      </c>
      <c r="KV48">
        <f t="shared" si="48"/>
        <v>7818.749914444531</v>
      </c>
      <c r="KW48">
        <f t="shared" si="48"/>
        <v>7845.0914168565541</v>
      </c>
      <c r="KX48">
        <f t="shared" ref="KX48:LG51" si="49">(($C49+0.4)*TAN(RADIANS(KX$47))*$D48*0.8*1000*9.8*$C48)+((0.8*TAN(RADIANS(KX$47)))*0.8/2*$D48*1000*9.8)*($C48+0.8/6)</f>
        <v>7871.4348521894171</v>
      </c>
      <c r="KY48">
        <f t="shared" si="49"/>
        <v>7897.7802270763295</v>
      </c>
      <c r="KZ48">
        <f t="shared" si="49"/>
        <v>7924.1275481524171</v>
      </c>
      <c r="LA48">
        <f t="shared" si="49"/>
        <v>7950.476822054733</v>
      </c>
      <c r="LB48">
        <f t="shared" si="49"/>
        <v>7976.8280554222765</v>
      </c>
      <c r="LC48">
        <f t="shared" si="49"/>
        <v>8003.1812548959788</v>
      </c>
      <c r="LD48">
        <f t="shared" si="49"/>
        <v>8029.5364271187236</v>
      </c>
      <c r="LE48">
        <f t="shared" si="49"/>
        <v>8055.8935787353539</v>
      </c>
      <c r="LF48">
        <f t="shared" si="49"/>
        <v>8082.2527163926743</v>
      </c>
      <c r="LG48">
        <f t="shared" si="49"/>
        <v>8108.6138467394539</v>
      </c>
      <c r="LH48">
        <f t="shared" ref="LH48:LQ51" si="50">(($C49+0.4)*TAN(RADIANS(LH$47))*$D48*0.8*1000*9.8*$C48)+((0.8*TAN(RADIANS(LH$47)))*0.8/2*$D48*1000*9.8)*($C48+0.8/6)</f>
        <v>8134.9769764264474</v>
      </c>
      <c r="LI48">
        <f t="shared" si="50"/>
        <v>8161.3421121063875</v>
      </c>
      <c r="LJ48">
        <f t="shared" si="50"/>
        <v>8187.7092604339941</v>
      </c>
      <c r="LK48">
        <f t="shared" si="50"/>
        <v>8214.07842806599</v>
      </c>
      <c r="LL48">
        <f t="shared" si="50"/>
        <v>8240.4496216610969</v>
      </c>
      <c r="LM48">
        <f t="shared" si="50"/>
        <v>8266.8228478800593</v>
      </c>
      <c r="LN48">
        <f t="shared" si="50"/>
        <v>8293.1981133856207</v>
      </c>
      <c r="LO48">
        <f t="shared" si="50"/>
        <v>8319.5754248425637</v>
      </c>
      <c r="LP48">
        <f t="shared" si="50"/>
        <v>8345.9547889176938</v>
      </c>
      <c r="LQ48">
        <f t="shared" si="50"/>
        <v>8372.336212279859</v>
      </c>
      <c r="LR48">
        <f t="shared" ref="LR48:MA51" si="51">(($C49+0.4)*TAN(RADIANS(LR$47))*$D48*0.8*1000*9.8*$C48)+((0.8*TAN(RADIANS(LR$47)))*0.8/2*$D48*1000*9.8)*($C48+0.8/6)</f>
        <v>8398.7197015999482</v>
      </c>
      <c r="LS48">
        <f t="shared" si="51"/>
        <v>8425.1052635509132</v>
      </c>
      <c r="LT48">
        <f t="shared" si="51"/>
        <v>8451.4929048077465</v>
      </c>
      <c r="LU48">
        <f t="shared" si="51"/>
        <v>8477.8826320475237</v>
      </c>
      <c r="LV48">
        <f t="shared" si="51"/>
        <v>8504.274451949379</v>
      </c>
      <c r="LW48">
        <f t="shared" si="51"/>
        <v>8530.6683711945388</v>
      </c>
      <c r="LX48">
        <f t="shared" si="51"/>
        <v>8557.0643964662995</v>
      </c>
      <c r="LY48">
        <f t="shared" si="51"/>
        <v>8583.4625344500673</v>
      </c>
      <c r="LZ48">
        <f t="shared" si="51"/>
        <v>8609.8627918333441</v>
      </c>
      <c r="MA48">
        <f t="shared" si="51"/>
        <v>8636.2651753057253</v>
      </c>
      <c r="MB48">
        <f t="shared" ref="MB48:MK51" si="52">(($C49+0.4)*TAN(RADIANS(MB$47))*$D48*0.8*1000*9.8*$C48)+((0.8*TAN(RADIANS(MB$47)))*0.8/2*$D48*1000*9.8)*($C48+0.8/6)</f>
        <v>8662.6696915589418</v>
      </c>
      <c r="MC48">
        <f t="shared" si="52"/>
        <v>8689.0763472868257</v>
      </c>
      <c r="MD48">
        <f t="shared" si="52"/>
        <v>8715.4851491853533</v>
      </c>
      <c r="ME48">
        <f t="shared" si="52"/>
        <v>8741.8961039526184</v>
      </c>
      <c r="MF48">
        <f t="shared" si="52"/>
        <v>8768.3092182888759</v>
      </c>
      <c r="MG48">
        <f t="shared" si="52"/>
        <v>8794.7244988965085</v>
      </c>
      <c r="MH48">
        <f t="shared" si="52"/>
        <v>8821.1419524800694</v>
      </c>
      <c r="MI48">
        <f t="shared" si="52"/>
        <v>8847.5615857462653</v>
      </c>
      <c r="MJ48">
        <f t="shared" si="52"/>
        <v>8873.983405403982</v>
      </c>
      <c r="MK48">
        <f t="shared" si="52"/>
        <v>8900.4074181642663</v>
      </c>
      <c r="ML48">
        <f t="shared" ref="ML48:MU51" si="53">(($C49+0.4)*TAN(RADIANS(ML$47))*$D48*0.8*1000*9.8*$C48)+((0.8*TAN(RADIANS(ML$47)))*0.8/2*$D48*1000*9.8)*($C48+0.8/6)</f>
        <v>8926.8336307403661</v>
      </c>
      <c r="MM48">
        <f t="shared" si="53"/>
        <v>8953.2620498477027</v>
      </c>
      <c r="MN48">
        <f t="shared" si="53"/>
        <v>8979.6926822039095</v>
      </c>
      <c r="MO48">
        <f t="shared" si="53"/>
        <v>9006.1255345288064</v>
      </c>
      <c r="MP48">
        <f t="shared" si="53"/>
        <v>9032.560613544445</v>
      </c>
      <c r="MQ48">
        <f t="shared" si="53"/>
        <v>9058.9979259750762</v>
      </c>
      <c r="MR48">
        <f t="shared" si="53"/>
        <v>9085.43747854719</v>
      </c>
      <c r="MS48">
        <f t="shared" si="53"/>
        <v>9111.8792779894939</v>
      </c>
      <c r="MT48">
        <f t="shared" si="53"/>
        <v>9138.3233310329488</v>
      </c>
      <c r="MU48">
        <f t="shared" si="53"/>
        <v>9164.7696444107514</v>
      </c>
      <c r="MV48">
        <f t="shared" ref="MV48:NE51" si="54">(($C49+0.4)*TAN(RADIANS(MV$47))*$D48*0.8*1000*9.8*$C48)+((0.8*TAN(RADIANS(MV$47)))*0.8/2*$D48*1000*9.8)*($C48+0.8/6)</f>
        <v>9191.2182248583576</v>
      </c>
      <c r="MW48">
        <f t="shared" si="54"/>
        <v>9217.6690791134752</v>
      </c>
      <c r="MX48">
        <f t="shared" si="54"/>
        <v>9244.1222139160909</v>
      </c>
      <c r="MY48">
        <f t="shared" si="54"/>
        <v>9270.5776360084546</v>
      </c>
      <c r="MZ48">
        <f t="shared" si="54"/>
        <v>9297.0353521350989</v>
      </c>
      <c r="NA48">
        <f t="shared" si="54"/>
        <v>9323.4953690428574</v>
      </c>
      <c r="NB48">
        <f t="shared" si="54"/>
        <v>9349.9576934808319</v>
      </c>
      <c r="NC48">
        <f t="shared" si="54"/>
        <v>9376.4223322004491</v>
      </c>
      <c r="ND48">
        <f t="shared" si="54"/>
        <v>9402.8892919554382</v>
      </c>
      <c r="NE48">
        <f t="shared" si="54"/>
        <v>9429.3585795018444</v>
      </c>
      <c r="NF48">
        <f t="shared" ref="NF48:NO51" si="55">(($C49+0.4)*TAN(RADIANS(NF$47))*$D48*0.8*1000*9.8*$C48)+((0.8*TAN(RADIANS(NF$47)))*0.8/2*$D48*1000*9.8)*($C48+0.8/6)</f>
        <v>9455.8302015980316</v>
      </c>
      <c r="NG48">
        <f t="shared" si="55"/>
        <v>9482.304165004698</v>
      </c>
      <c r="NH48">
        <f t="shared" si="55"/>
        <v>9508.7804764848825</v>
      </c>
      <c r="NI48">
        <f t="shared" si="55"/>
        <v>9535.2591428039614</v>
      </c>
      <c r="NJ48">
        <f t="shared" si="55"/>
        <v>9561.7401707296631</v>
      </c>
      <c r="NK48">
        <f t="shared" si="55"/>
        <v>9588.2235670320806</v>
      </c>
      <c r="NL48">
        <f t="shared" si="55"/>
        <v>9614.7093384836626</v>
      </c>
      <c r="NM48">
        <f t="shared" si="55"/>
        <v>9641.1974918592441</v>
      </c>
      <c r="NN48">
        <f t="shared" si="55"/>
        <v>9667.6880339360268</v>
      </c>
      <c r="NO48">
        <f t="shared" si="55"/>
        <v>9694.1809714936044</v>
      </c>
      <c r="NP48">
        <f t="shared" ref="NP48:NY51" si="56">(($C49+0.4)*TAN(RADIANS(NP$47))*$D48*0.8*1000*9.8*$C48)+((0.8*TAN(RADIANS(NP$47)))*0.8/2*$D48*1000*9.8)*($C48+0.8/6)</f>
        <v>9720.6763113139605</v>
      </c>
      <c r="NQ48">
        <f t="shared" si="56"/>
        <v>9747.174060181489</v>
      </c>
      <c r="NR48">
        <f t="shared" si="56"/>
        <v>9773.6742248829796</v>
      </c>
      <c r="NS48">
        <f t="shared" si="56"/>
        <v>9800.1768122076519</v>
      </c>
      <c r="NT48">
        <f t="shared" si="56"/>
        <v>9826.6818289471339</v>
      </c>
      <c r="NU48">
        <f t="shared" si="56"/>
        <v>9853.1892818954875</v>
      </c>
      <c r="NV48">
        <f t="shared" si="56"/>
        <v>9879.699177849212</v>
      </c>
      <c r="NW48">
        <f t="shared" si="56"/>
        <v>9906.2115236072495</v>
      </c>
      <c r="NX48">
        <f t="shared" si="56"/>
        <v>9932.726325970998</v>
      </c>
      <c r="NY48">
        <f t="shared" si="56"/>
        <v>9959.2435917443072</v>
      </c>
      <c r="NZ48">
        <f t="shared" ref="NZ48:OI51" si="57">(($C49+0.4)*TAN(RADIANS(NZ$47))*$D48*0.8*1000*9.8*$C48)+((0.8*TAN(RADIANS(NZ$47)))*0.8/2*$D48*1000*9.8)*($C48+0.8/6)</f>
        <v>9985.7633277334917</v>
      </c>
      <c r="OA48">
        <f t="shared" si="57"/>
        <v>10012.285540747343</v>
      </c>
      <c r="OB48">
        <f t="shared" si="57"/>
        <v>10038.810237597125</v>
      </c>
      <c r="OC48">
        <f t="shared" si="57"/>
        <v>10065.337425096594</v>
      </c>
      <c r="OD48">
        <f t="shared" si="57"/>
        <v>10091.867110062007</v>
      </c>
      <c r="OE48">
        <f t="shared" si="57"/>
        <v>10118.399299312097</v>
      </c>
      <c r="OF48">
        <f t="shared" si="57"/>
        <v>10144.933999668137</v>
      </c>
      <c r="OG48">
        <f t="shared" si="57"/>
        <v>10171.471217953889</v>
      </c>
      <c r="OH48">
        <f t="shared" si="57"/>
        <v>10198.010960995656</v>
      </c>
      <c r="OI48">
        <f t="shared" si="57"/>
        <v>10224.553235622252</v>
      </c>
      <c r="OJ48">
        <f t="shared" ref="OJ48:OS51" si="58">(($C49+0.4)*TAN(RADIANS(OJ$47))*$D48*0.8*1000*9.8*$C48)+((0.8*TAN(RADIANS(OJ$47)))*0.8/2*$D48*1000*9.8)*($C48+0.8/6)</f>
        <v>10251.09804866505</v>
      </c>
      <c r="OK48">
        <f t="shared" si="58"/>
        <v>10277.645406957947</v>
      </c>
      <c r="OL48">
        <f t="shared" si="58"/>
        <v>10304.195317337404</v>
      </c>
      <c r="OM48">
        <f t="shared" si="58"/>
        <v>10330.747786642434</v>
      </c>
      <c r="ON48">
        <f t="shared" si="58"/>
        <v>10357.30282171462</v>
      </c>
      <c r="OO48">
        <f t="shared" si="58"/>
        <v>10383.860429398117</v>
      </c>
      <c r="OP48">
        <f t="shared" si="58"/>
        <v>10410.420616539652</v>
      </c>
      <c r="OQ48">
        <f t="shared" si="58"/>
        <v>10436.983389988553</v>
      </c>
      <c r="OR48">
        <f t="shared" si="58"/>
        <v>10463.548756596734</v>
      </c>
      <c r="OS48">
        <f t="shared" si="58"/>
        <v>10490.116723218714</v>
      </c>
      <c r="OT48">
        <f t="shared" ref="OT48:PC51" si="59">(($C49+0.4)*TAN(RADIANS(OT$47))*$D48*0.8*1000*9.8*$C48)+((0.8*TAN(RADIANS(OT$47)))*0.8/2*$D48*1000*9.8)*($C48+0.8/6)</f>
        <v>10516.687296711618</v>
      </c>
      <c r="OU48">
        <f t="shared" si="59"/>
        <v>10543.260483935188</v>
      </c>
      <c r="OV48">
        <f t="shared" si="59"/>
        <v>10569.836291751795</v>
      </c>
      <c r="OW48">
        <f t="shared" si="59"/>
        <v>10596.414727026437</v>
      </c>
      <c r="OX48">
        <f t="shared" si="59"/>
        <v>10622.995796626743</v>
      </c>
      <c r="OY48">
        <f t="shared" si="59"/>
        <v>10649.579507423001</v>
      </c>
      <c r="OZ48">
        <f t="shared" si="59"/>
        <v>10676.165866288149</v>
      </c>
      <c r="PA48">
        <f t="shared" si="59"/>
        <v>10702.754880097775</v>
      </c>
      <c r="PB48">
        <f t="shared" si="59"/>
        <v>10729.346555730142</v>
      </c>
      <c r="PC48">
        <f t="shared" si="59"/>
        <v>10755.940900066187</v>
      </c>
      <c r="PD48">
        <f t="shared" ref="PD48:PM51" si="60">(($C49+0.4)*TAN(RADIANS(PD$47))*$D48*0.8*1000*9.8*$C48)+((0.8*TAN(RADIANS(PD$47)))*0.8/2*$D48*1000*9.8)*($C48+0.8/6)</f>
        <v>10782.537919989532</v>
      </c>
      <c r="PE48">
        <f t="shared" si="60"/>
        <v>10809.137622386483</v>
      </c>
      <c r="PF48">
        <f t="shared" si="60"/>
        <v>10835.74001414604</v>
      </c>
      <c r="PG48">
        <f t="shared" si="60"/>
        <v>10862.345102159921</v>
      </c>
      <c r="PH48">
        <f t="shared" si="60"/>
        <v>10888.952893322537</v>
      </c>
      <c r="PI48">
        <f t="shared" si="60"/>
        <v>10915.563394531033</v>
      </c>
      <c r="PJ48">
        <f t="shared" si="60"/>
        <v>10942.176612685265</v>
      </c>
      <c r="PK48">
        <f t="shared" si="60"/>
        <v>10968.792554687847</v>
      </c>
      <c r="PL48">
        <f t="shared" si="60"/>
        <v>10995.411227444105</v>
      </c>
      <c r="PM48">
        <f t="shared" si="60"/>
        <v>11022.032637862128</v>
      </c>
      <c r="PN48">
        <f t="shared" ref="PN48:PW51" si="61">(($C49+0.4)*TAN(RADIANS(PN$47))*$D48*0.8*1000*9.8*$C48)+((0.8*TAN(RADIANS(PN$47)))*0.8/2*$D48*1000*9.8)*($C48+0.8/6)</f>
        <v>11048.65679285276</v>
      </c>
      <c r="PO48">
        <f t="shared" si="61"/>
        <v>11075.283699329608</v>
      </c>
      <c r="PP48">
        <f t="shared" si="61"/>
        <v>11101.913364209046</v>
      </c>
      <c r="PQ48">
        <f t="shared" si="61"/>
        <v>11128.54579441022</v>
      </c>
      <c r="PR48">
        <f t="shared" si="61"/>
        <v>11155.180996855082</v>
      </c>
      <c r="PS48">
        <f t="shared" si="61"/>
        <v>11181.818978468349</v>
      </c>
      <c r="PT48">
        <f t="shared" si="61"/>
        <v>11208.459746177561</v>
      </c>
      <c r="PU48">
        <f t="shared" si="61"/>
        <v>11235.103306913055</v>
      </c>
      <c r="PV48">
        <f t="shared" si="61"/>
        <v>11261.749667607975</v>
      </c>
      <c r="PW48">
        <f t="shared" si="61"/>
        <v>11288.398835198303</v>
      </c>
      <c r="PX48">
        <f t="shared" ref="PX48:QG51" si="62">(($C49+0.4)*TAN(RADIANS(PX$47))*$D48*0.8*1000*9.8*$C48)+((0.8*TAN(RADIANS(PX$47)))*0.8/2*$D48*1000*9.8)*($C48+0.8/6)</f>
        <v>11315.050816622843</v>
      </c>
      <c r="PY48">
        <f t="shared" si="62"/>
        <v>11341.705618823231</v>
      </c>
      <c r="PZ48">
        <f t="shared" si="62"/>
        <v>11368.363248743952</v>
      </c>
      <c r="QA48">
        <f t="shared" si="62"/>
        <v>11395.023713332354</v>
      </c>
      <c r="QB48">
        <f t="shared" si="62"/>
        <v>11421.687019538615</v>
      </c>
      <c r="QC48">
        <f t="shared" si="62"/>
        <v>11448.353174315822</v>
      </c>
      <c r="QD48">
        <f t="shared" si="62"/>
        <v>11475.022184619889</v>
      </c>
      <c r="QE48">
        <f t="shared" si="62"/>
        <v>11501.694057409648</v>
      </c>
      <c r="QF48">
        <f t="shared" si="62"/>
        <v>11528.368799646805</v>
      </c>
      <c r="QG48">
        <f t="shared" si="62"/>
        <v>11555.046418295969</v>
      </c>
      <c r="QH48">
        <f t="shared" ref="QH48:QQ51" si="63">(($C49+0.4)*TAN(RADIANS(QH$47))*$D48*0.8*1000*9.8*$C48)+((0.8*TAN(RADIANS(QH$47)))*0.8/2*$D48*1000*9.8)*($C48+0.8/6)</f>
        <v>11581.726920324638</v>
      </c>
      <c r="QI48">
        <f t="shared" si="63"/>
        <v>11608.410312703241</v>
      </c>
      <c r="QJ48">
        <f t="shared" si="63"/>
        <v>11635.096602405119</v>
      </c>
      <c r="QK48">
        <f t="shared" si="63"/>
        <v>11661.785796406539</v>
      </c>
      <c r="QL48">
        <f t="shared" si="63"/>
        <v>11688.4779016867</v>
      </c>
      <c r="QM48">
        <f t="shared" si="63"/>
        <v>11715.17292522774</v>
      </c>
      <c r="QN48">
        <f t="shared" si="63"/>
        <v>11741.870874014756</v>
      </c>
      <c r="QO48">
        <f t="shared" si="63"/>
        <v>11768.571755035808</v>
      </c>
      <c r="QP48">
        <f t="shared" si="63"/>
        <v>11795.27557528189</v>
      </c>
      <c r="QQ48">
        <f t="shared" si="63"/>
        <v>11821.982341746991</v>
      </c>
      <c r="QR48">
        <f t="shared" ref="QR48:RA51" si="64">(($C49+0.4)*TAN(RADIANS(QR$47))*$D48*0.8*1000*9.8*$C48)+((0.8*TAN(RADIANS(QR$47)))*0.8/2*$D48*1000*9.8)*($C48+0.8/6)</f>
        <v>11848.692061428086</v>
      </c>
      <c r="QS48">
        <f t="shared" si="64"/>
        <v>11875.404741325116</v>
      </c>
      <c r="QT48">
        <f t="shared" si="64"/>
        <v>11902.120388441044</v>
      </c>
      <c r="QU48">
        <f t="shared" si="64"/>
        <v>11928.839009781797</v>
      </c>
      <c r="QV48">
        <f t="shared" si="64"/>
        <v>11955.560612356347</v>
      </c>
      <c r="QW48">
        <f t="shared" si="64"/>
        <v>11982.285203176663</v>
      </c>
      <c r="QX48">
        <f t="shared" si="64"/>
        <v>12009.012789257768</v>
      </c>
      <c r="QY48">
        <f t="shared" si="64"/>
        <v>12035.743377617644</v>
      </c>
      <c r="QZ48">
        <f t="shared" si="64"/>
        <v>12062.476975277414</v>
      </c>
      <c r="RA48">
        <f t="shared" si="64"/>
        <v>12089.213589261179</v>
      </c>
      <c r="RB48">
        <f t="shared" ref="RB48:RK51" si="65">(($C49+0.4)*TAN(RADIANS(RB$47))*$D48*0.8*1000*9.8*$C48)+((0.8*TAN(RADIANS(RB$47)))*0.8/2*$D48*1000*9.8)*($C48+0.8/6)</f>
        <v>12115.953226596132</v>
      </c>
      <c r="RC48">
        <f t="shared" si="65"/>
        <v>12142.695894312477</v>
      </c>
      <c r="RD48">
        <f t="shared" si="65"/>
        <v>12169.441599443553</v>
      </c>
      <c r="RE48">
        <f t="shared" si="65"/>
        <v>12196.190349025745</v>
      </c>
      <c r="RF48">
        <f t="shared" si="65"/>
        <v>12222.942150098541</v>
      </c>
      <c r="RG48">
        <f t="shared" si="65"/>
        <v>12249.697009704463</v>
      </c>
      <c r="RH48">
        <f t="shared" si="65"/>
        <v>12276.454934889225</v>
      </c>
      <c r="RI48">
        <f t="shared" si="65"/>
        <v>12303.215932701598</v>
      </c>
      <c r="RJ48">
        <f t="shared" si="65"/>
        <v>12329.980010193478</v>
      </c>
      <c r="RK48">
        <f t="shared" si="65"/>
        <v>12356.747174419854</v>
      </c>
      <c r="RL48">
        <f t="shared" ref="RL48:RU51" si="66">(($C49+0.4)*TAN(RADIANS(RL$47))*$D48*0.8*1000*9.8*$C48)+((0.8*TAN(RADIANS(RL$47)))*0.8/2*$D48*1000*9.8)*($C48+0.8/6)</f>
        <v>12383.517432438915</v>
      </c>
      <c r="RM48">
        <f t="shared" si="66"/>
        <v>12410.290791311936</v>
      </c>
      <c r="RN48">
        <f t="shared" si="66"/>
        <v>12437.067258103376</v>
      </c>
      <c r="RO48">
        <f t="shared" si="66"/>
        <v>12463.846839880784</v>
      </c>
      <c r="RP48">
        <f t="shared" si="66"/>
        <v>12490.62954371496</v>
      </c>
      <c r="RQ48">
        <f t="shared" si="66"/>
        <v>12517.415376679814</v>
      </c>
      <c r="RR48">
        <f t="shared" si="66"/>
        <v>12544.204345852468</v>
      </c>
      <c r="RS48">
        <f t="shared" si="66"/>
        <v>12570.996458313173</v>
      </c>
      <c r="RT48">
        <f t="shared" si="66"/>
        <v>12597.791721145459</v>
      </c>
      <c r="RU48">
        <f t="shared" si="66"/>
        <v>12624.590141436007</v>
      </c>
      <c r="RV48">
        <f t="shared" ref="RV48:SE51" si="67">(($C49+0.4)*TAN(RADIANS(RV$47))*$D48*0.8*1000*9.8*$C48)+((0.8*TAN(RADIANS(RV$47)))*0.8/2*$D48*1000*9.8)*($C48+0.8/6)</f>
        <v>12651.391726274689</v>
      </c>
      <c r="RW48">
        <f t="shared" si="67"/>
        <v>12678.196482754631</v>
      </c>
      <c r="RX48">
        <f t="shared" si="67"/>
        <v>12705.004417972163</v>
      </c>
      <c r="RY48">
        <f t="shared" si="67"/>
        <v>12731.815539026889</v>
      </c>
      <c r="RZ48">
        <f t="shared" si="67"/>
        <v>12758.629853021586</v>
      </c>
      <c r="SA48">
        <f t="shared" si="67"/>
        <v>12785.447367062323</v>
      </c>
      <c r="SB48">
        <f t="shared" si="67"/>
        <v>12812.268088258412</v>
      </c>
      <c r="SC48">
        <f t="shared" si="67"/>
        <v>12839.092023722464</v>
      </c>
      <c r="SD48">
        <f t="shared" si="67"/>
        <v>12865.91918057029</v>
      </c>
      <c r="SE48">
        <f t="shared" si="67"/>
        <v>12892.749565921036</v>
      </c>
      <c r="SF48">
        <f t="shared" ref="SF48:SO51" si="68">(($C49+0.4)*TAN(RADIANS(SF$47))*$D48*0.8*1000*9.8*$C48)+((0.8*TAN(RADIANS(SF$47)))*0.8/2*$D48*1000*9.8)*($C48+0.8/6)</f>
        <v>12919.583186897111</v>
      </c>
      <c r="SG48">
        <f t="shared" si="68"/>
        <v>12946.420050624265</v>
      </c>
      <c r="SH48">
        <f t="shared" si="68"/>
        <v>12973.260164231469</v>
      </c>
      <c r="SI48">
        <f t="shared" si="68"/>
        <v>13000.103534851074</v>
      </c>
      <c r="SJ48">
        <f t="shared" si="68"/>
        <v>13026.950169618709</v>
      </c>
      <c r="SK48">
        <f t="shared" si="68"/>
        <v>13053.800075673387</v>
      </c>
      <c r="SL48">
        <f t="shared" si="68"/>
        <v>13080.653260157365</v>
      </c>
      <c r="SM48">
        <f t="shared" si="68"/>
        <v>13107.509730216318</v>
      </c>
      <c r="SN48">
        <f t="shared" si="68"/>
        <v>13134.369492999231</v>
      </c>
      <c r="SO48">
        <f t="shared" si="68"/>
        <v>13161.232555658486</v>
      </c>
      <c r="SP48">
        <f t="shared" ref="SP48:SY51" si="69">(($C49+0.4)*TAN(RADIANS(SP$47))*$D48*0.8*1000*9.8*$C48)+((0.8*TAN(RADIANS(SP$47)))*0.8/2*$D48*1000*9.8)*($C48+0.8/6)</f>
        <v>13188.09892534979</v>
      </c>
      <c r="SQ48">
        <f t="shared" si="69"/>
        <v>13214.968609232244</v>
      </c>
      <c r="SR48">
        <f t="shared" si="69"/>
        <v>13241.841614468332</v>
      </c>
      <c r="SS48">
        <f t="shared" si="69"/>
        <v>13268.717948223921</v>
      </c>
      <c r="ST48">
        <f t="shared" si="69"/>
        <v>13295.597617668271</v>
      </c>
      <c r="SU48">
        <f t="shared" si="69"/>
        <v>13322.480629974065</v>
      </c>
      <c r="SV48">
        <f t="shared" si="69"/>
        <v>13349.366992317384</v>
      </c>
      <c r="SW48">
        <f t="shared" si="69"/>
        <v>13376.256711877739</v>
      </c>
      <c r="SX48">
        <f t="shared" si="69"/>
        <v>13403.149795838062</v>
      </c>
      <c r="SY48">
        <f t="shared" si="69"/>
        <v>13430.046251384731</v>
      </c>
      <c r="SZ48">
        <f t="shared" ref="SZ48:TI51" si="70">(($C49+0.4)*TAN(RADIANS(SZ$47))*$D48*0.8*1000*9.8*$C48)+((0.8*TAN(RADIANS(SZ$47)))*0.8/2*$D48*1000*9.8)*($C48+0.8/6)</f>
        <v>13456.946085707576</v>
      </c>
      <c r="TA48">
        <f t="shared" si="70"/>
        <v>13483.849305999856</v>
      </c>
      <c r="TB48">
        <f t="shared" si="70"/>
        <v>13510.755919458314</v>
      </c>
      <c r="TC48">
        <f t="shared" si="70"/>
        <v>13537.665933283155</v>
      </c>
      <c r="TD48">
        <f t="shared" si="70"/>
        <v>13564.579354678064</v>
      </c>
      <c r="TE48">
        <f t="shared" si="70"/>
        <v>13591.496190850205</v>
      </c>
      <c r="TF48">
        <f t="shared" si="70"/>
        <v>13618.416449010239</v>
      </c>
      <c r="TG48">
        <f t="shared" si="70"/>
        <v>13645.340136372335</v>
      </c>
      <c r="TH48">
        <f t="shared" si="70"/>
        <v>13672.26726015416</v>
      </c>
      <c r="TI48">
        <f t="shared" si="70"/>
        <v>13699.197827576905</v>
      </c>
      <c r="TJ48">
        <f t="shared" ref="TJ48:TS51" si="71">(($C49+0.4)*TAN(RADIANS(TJ$47))*$D48*0.8*1000*9.8*$C48)+((0.8*TAN(RADIANS(TJ$47)))*0.8/2*$D48*1000*9.8)*($C48+0.8/6)</f>
        <v>13726.131845865295</v>
      </c>
      <c r="TK48">
        <f t="shared" si="71"/>
        <v>13753.069322247562</v>
      </c>
      <c r="TL48">
        <f t="shared" si="71"/>
        <v>13780.010263955521</v>
      </c>
      <c r="TM48">
        <f t="shared" si="71"/>
        <v>13806.954678224494</v>
      </c>
      <c r="TN48">
        <f t="shared" si="71"/>
        <v>13833.902572293393</v>
      </c>
      <c r="TO48">
        <f t="shared" si="71"/>
        <v>13860.853953404674</v>
      </c>
      <c r="TP48">
        <f t="shared" si="71"/>
        <v>13887.808828804387</v>
      </c>
      <c r="TQ48">
        <f t="shared" si="71"/>
        <v>13914.767205742151</v>
      </c>
      <c r="TR48">
        <f t="shared" si="71"/>
        <v>13941.729091471179</v>
      </c>
      <c r="TS48">
        <f t="shared" si="71"/>
        <v>13968.69449324828</v>
      </c>
      <c r="TT48">
        <f t="shared" ref="TT48:UC51" si="72">(($C49+0.4)*TAN(RADIANS(TT$47))*$D48*0.8*1000*9.8*$C48)+((0.8*TAN(RADIANS(TT$47)))*0.8/2*$D48*1000*9.8)*($C48+0.8/6)</f>
        <v>13995.663418333877</v>
      </c>
      <c r="TU48">
        <f t="shared" si="72"/>
        <v>14022.635873992003</v>
      </c>
      <c r="TV48">
        <f t="shared" si="72"/>
        <v>14049.611867490305</v>
      </c>
      <c r="TW48">
        <f t="shared" si="72"/>
        <v>14076.59140610008</v>
      </c>
      <c r="TX48">
        <f t="shared" si="72"/>
        <v>14103.574497096255</v>
      </c>
      <c r="TY48">
        <f t="shared" si="72"/>
        <v>14130.5611477574</v>
      </c>
      <c r="TZ48">
        <f t="shared" si="72"/>
        <v>14157.551365365742</v>
      </c>
      <c r="UA48">
        <f t="shared" si="72"/>
        <v>14184.545157207182</v>
      </c>
      <c r="UB48">
        <f t="shared" si="72"/>
        <v>14211.54253057128</v>
      </c>
      <c r="UC48">
        <f t="shared" si="72"/>
        <v>14238.543492751294</v>
      </c>
      <c r="UD48">
        <f t="shared" ref="UD48:UM51" si="73">(($C49+0.4)*TAN(RADIANS(UD$47))*$D48*0.8*1000*9.8*$C48)+((0.8*TAN(RADIANS(UD$47)))*0.8/2*$D48*1000*9.8)*($C48+0.8/6)</f>
        <v>14265.548051044143</v>
      </c>
      <c r="UE48">
        <f t="shared" si="73"/>
        <v>14292.556212750464</v>
      </c>
      <c r="UF48">
        <f t="shared" si="73"/>
        <v>14319.567985174599</v>
      </c>
      <c r="UG48">
        <f t="shared" si="73"/>
        <v>14346.583375624596</v>
      </c>
      <c r="UH48">
        <f t="shared" si="73"/>
        <v>14373.602391412216</v>
      </c>
      <c r="UI48">
        <f t="shared" si="73"/>
        <v>14400.62503985297</v>
      </c>
      <c r="UJ48">
        <f t="shared" si="73"/>
        <v>14427.651328266096</v>
      </c>
      <c r="UK48">
        <f t="shared" si="73"/>
        <v>14454.68126397458</v>
      </c>
      <c r="UL48">
        <f t="shared" si="73"/>
        <v>14481.714854305159</v>
      </c>
      <c r="UM48">
        <f t="shared" si="73"/>
        <v>14508.752106588328</v>
      </c>
      <c r="UN48">
        <f t="shared" ref="UN48:UW51" si="74">(($C49+0.4)*TAN(RADIANS(UN$47))*$D48*0.8*1000*9.8*$C48)+((0.8*TAN(RADIANS(UN$47)))*0.8/2*$D48*1000*9.8)*($C48+0.8/6)</f>
        <v>14535.793028158378</v>
      </c>
      <c r="UO48">
        <f t="shared" si="74"/>
        <v>14562.837626353343</v>
      </c>
      <c r="UP48">
        <f t="shared" si="74"/>
        <v>14589.885908515085</v>
      </c>
      <c r="UQ48">
        <f t="shared" si="74"/>
        <v>14616.937881989223</v>
      </c>
      <c r="UR48">
        <f t="shared" si="74"/>
        <v>14643.993554125205</v>
      </c>
      <c r="US48">
        <f t="shared" si="74"/>
        <v>14671.052932276285</v>
      </c>
      <c r="UT48">
        <f t="shared" si="74"/>
        <v>14698.116023799541</v>
      </c>
      <c r="UU48">
        <f t="shared" si="74"/>
        <v>14725.182836055874</v>
      </c>
      <c r="UV48">
        <f t="shared" si="74"/>
        <v>14752.253376410024</v>
      </c>
      <c r="UW48">
        <f t="shared" si="74"/>
        <v>14779.327652230586</v>
      </c>
      <c r="UX48">
        <f t="shared" ref="UX48:VG51" si="75">(($C49+0.4)*TAN(RADIANS(UX$47))*$D48*0.8*1000*9.8*$C48)+((0.8*TAN(RADIANS(UX$47)))*0.8/2*$D48*1000*9.8)*($C48+0.8/6)</f>
        <v>14806.405670890004</v>
      </c>
      <c r="UY48">
        <f t="shared" si="75"/>
        <v>14833.487439764576</v>
      </c>
      <c r="UZ48">
        <f t="shared" si="75"/>
        <v>14860.572966234486</v>
      </c>
      <c r="VA48">
        <f t="shared" si="75"/>
        <v>14887.662257683794</v>
      </c>
      <c r="VB48">
        <f t="shared" si="75"/>
        <v>14914.755321500441</v>
      </c>
      <c r="VC48">
        <f t="shared" si="75"/>
        <v>14941.852165076265</v>
      </c>
      <c r="VD48">
        <f t="shared" si="75"/>
        <v>14968.952795807023</v>
      </c>
      <c r="VE48">
        <f t="shared" si="75"/>
        <v>14996.057221092373</v>
      </c>
      <c r="VF48">
        <f t="shared" si="75"/>
        <v>15023.165448335902</v>
      </c>
      <c r="VG48">
        <f t="shared" si="75"/>
        <v>15050.277484945113</v>
      </c>
      <c r="VH48">
        <f t="shared" ref="VH48:VQ51" si="76">(($C49+0.4)*TAN(RADIANS(VH$47))*$D48*0.8*1000*9.8*$C48)+((0.8*TAN(RADIANS(VH$47)))*0.8/2*$D48*1000*9.8)*($C48+0.8/6)</f>
        <v>15077.393338331462</v>
      </c>
      <c r="VI48">
        <f t="shared" si="76"/>
        <v>15104.513015910354</v>
      </c>
      <c r="VJ48">
        <f t="shared" si="76"/>
        <v>15131.636525101143</v>
      </c>
      <c r="VK48">
        <f t="shared" si="76"/>
        <v>15158.763873327143</v>
      </c>
      <c r="VL48">
        <f t="shared" si="76"/>
        <v>15185.895068015658</v>
      </c>
      <c r="VM48">
        <f t="shared" si="76"/>
        <v>15213.030116597953</v>
      </c>
      <c r="VN48">
        <f t="shared" si="76"/>
        <v>15240.169026509295</v>
      </c>
      <c r="VO48">
        <f t="shared" si="76"/>
        <v>15267.311805188945</v>
      </c>
      <c r="VP48">
        <f t="shared" si="76"/>
        <v>15294.458460080177</v>
      </c>
      <c r="VQ48">
        <f t="shared" si="76"/>
        <v>15321.608998630272</v>
      </c>
      <c r="VR48">
        <f t="shared" ref="VR48:WA51" si="77">(($C49+0.4)*TAN(RADIANS(VR$47))*$D48*0.8*1000*9.8*$C48)+((0.8*TAN(RADIANS(VR$47)))*0.8/2*$D48*1000*9.8)*($C48+0.8/6)</f>
        <v>15348.763428290546</v>
      </c>
      <c r="VS48">
        <f t="shared" si="77"/>
        <v>15375.921756516338</v>
      </c>
      <c r="VT48">
        <f t="shared" si="77"/>
        <v>15403.083990767025</v>
      </c>
      <c r="VU48">
        <f t="shared" si="77"/>
        <v>15430.250138506046</v>
      </c>
      <c r="VV48">
        <f t="shared" si="77"/>
        <v>15457.420207200892</v>
      </c>
      <c r="VW48">
        <f t="shared" si="77"/>
        <v>15484.594204323126</v>
      </c>
      <c r="VX48">
        <f t="shared" si="77"/>
        <v>15511.772137348378</v>
      </c>
      <c r="VY48">
        <f t="shared" si="77"/>
        <v>15538.954013756365</v>
      </c>
      <c r="VZ48">
        <f t="shared" si="77"/>
        <v>15566.139841030899</v>
      </c>
      <c r="WA48">
        <f t="shared" si="77"/>
        <v>15593.329626659903</v>
      </c>
      <c r="WB48">
        <f t="shared" ref="WB48:WK51" si="78">(($C49+0.4)*TAN(RADIANS(WB$47))*$D48*0.8*1000*9.8*$C48)+((0.8*TAN(RADIANS(WB$47)))*0.8/2*$D48*1000*9.8)*($C48+0.8/6)</f>
        <v>15620.523378135389</v>
      </c>
      <c r="WC48">
        <f t="shared" si="78"/>
        <v>15647.721102953499</v>
      </c>
      <c r="WD48">
        <f t="shared" si="78"/>
        <v>15674.922808614512</v>
      </c>
      <c r="WE48">
        <f t="shared" si="78"/>
        <v>15702.128502622827</v>
      </c>
      <c r="WF48">
        <f t="shared" si="78"/>
        <v>15729.338192487001</v>
      </c>
      <c r="WG48">
        <f t="shared" si="78"/>
        <v>15756.551885719728</v>
      </c>
      <c r="WH48">
        <f t="shared" si="78"/>
        <v>15783.769589837888</v>
      </c>
      <c r="WI48">
        <f t="shared" si="78"/>
        <v>15810.99131236251</v>
      </c>
      <c r="WJ48">
        <f t="shared" si="78"/>
        <v>15838.217060818821</v>
      </c>
      <c r="WK48">
        <f t="shared" si="78"/>
        <v>15865.446842736217</v>
      </c>
      <c r="WL48">
        <f t="shared" ref="WL48:WN51" si="79">(($C49+0.4)*TAN(RADIANS(WL$47))*$D48*0.8*1000*9.8*$C48)+((0.8*TAN(RADIANS(WL$47)))*0.8/2*$D48*1000*9.8)*($C48+0.8/6)</f>
        <v>15892.680665648311</v>
      </c>
      <c r="WM48">
        <f t="shared" si="79"/>
        <v>15919.918537092903</v>
      </c>
      <c r="WN48">
        <f t="shared" si="79"/>
        <v>15947.160464612023</v>
      </c>
    </row>
    <row r="49" spans="2:612" x14ac:dyDescent="0.25">
      <c r="B49">
        <v>2</v>
      </c>
      <c r="C49">
        <f>C50+0.8</f>
        <v>2.4625000000000004</v>
      </c>
      <c r="D49">
        <v>0.97</v>
      </c>
      <c r="J49">
        <f>(($C50+0.4)*TAN(RADIANS(J$47))*$D49*0.8*1000*9.8*$C49)+((0.8*TAN(RADIANS(J$47)))*0.8/2*$D49*1000*9.8)*($C49+0.8/6)</f>
        <v>16.238677915942258</v>
      </c>
      <c r="K49">
        <f t="shared" si="35"/>
        <v>32.477359789152651</v>
      </c>
      <c r="L49">
        <f t="shared" si="35"/>
        <v>48.716049576903167</v>
      </c>
      <c r="M49">
        <f t="shared" si="35"/>
        <v>64.954751236473541</v>
      </c>
      <c r="N49">
        <f t="shared" si="35"/>
        <v>81.193468725155043</v>
      </c>
      <c r="O49">
        <f t="shared" si="35"/>
        <v>97.432206000254368</v>
      </c>
      <c r="P49">
        <f t="shared" si="35"/>
        <v>113.67096701909755</v>
      </c>
      <c r="Q49">
        <f t="shared" si="35"/>
        <v>129.9097557390337</v>
      </c>
      <c r="R49">
        <f t="shared" si="35"/>
        <v>146.14857611743898</v>
      </c>
      <c r="S49">
        <f t="shared" si="35"/>
        <v>162.38743211172039</v>
      </c>
      <c r="T49">
        <f t="shared" si="35"/>
        <v>178.62632767931962</v>
      </c>
      <c r="U49">
        <f t="shared" si="35"/>
        <v>194.8652667777171</v>
      </c>
      <c r="V49">
        <f t="shared" si="35"/>
        <v>211.10425336443549</v>
      </c>
      <c r="W49">
        <f t="shared" si="35"/>
        <v>227.34329139704371</v>
      </c>
      <c r="X49">
        <f t="shared" si="35"/>
        <v>243.58238483316106</v>
      </c>
      <c r="Y49">
        <f t="shared" si="35"/>
        <v>259.82153763046074</v>
      </c>
      <c r="Z49">
        <f t="shared" si="35"/>
        <v>276.0607537466737</v>
      </c>
      <c r="AA49">
        <f t="shared" si="35"/>
        <v>292.3000371395928</v>
      </c>
      <c r="AB49">
        <f t="shared" si="35"/>
        <v>308.53939176707638</v>
      </c>
      <c r="AC49">
        <f t="shared" si="35"/>
        <v>324.77882158705228</v>
      </c>
      <c r="AD49">
        <f t="shared" si="35"/>
        <v>341.01833055752149</v>
      </c>
      <c r="AE49">
        <f t="shared" si="35"/>
        <v>357.25792263656228</v>
      </c>
      <c r="AF49">
        <f t="shared" si="35"/>
        <v>373.49760178233413</v>
      </c>
      <c r="AG49">
        <f t="shared" si="35"/>
        <v>389.73737195308081</v>
      </c>
      <c r="AH49">
        <f t="shared" si="35"/>
        <v>405.97723710713564</v>
      </c>
      <c r="AI49">
        <f t="shared" si="35"/>
        <v>422.21720120292412</v>
      </c>
      <c r="AJ49">
        <f t="shared" si="35"/>
        <v>438.45726819896765</v>
      </c>
      <c r="AK49">
        <f t="shared" si="35"/>
        <v>454.69744205388901</v>
      </c>
      <c r="AL49">
        <f t="shared" si="35"/>
        <v>470.93772672641444</v>
      </c>
      <c r="AM49">
        <f t="shared" si="35"/>
        <v>487.1781261753784</v>
      </c>
      <c r="AN49">
        <f t="shared" si="35"/>
        <v>503.41864435972752</v>
      </c>
      <c r="AO49">
        <f t="shared" si="35"/>
        <v>519.65928523852381</v>
      </c>
      <c r="AP49">
        <f t="shared" si="35"/>
        <v>535.90005277094872</v>
      </c>
      <c r="AQ49">
        <f t="shared" si="35"/>
        <v>552.14095091630782</v>
      </c>
      <c r="AR49">
        <f t="shared" si="35"/>
        <v>568.38198363403376</v>
      </c>
      <c r="AS49">
        <f t="shared" si="35"/>
        <v>584.62315488368995</v>
      </c>
      <c r="AT49">
        <f t="shared" si="35"/>
        <v>600.86446862497587</v>
      </c>
      <c r="AU49">
        <f t="shared" si="35"/>
        <v>617.10592881772868</v>
      </c>
      <c r="AV49">
        <f t="shared" si="35"/>
        <v>633.34753942192935</v>
      </c>
      <c r="AW49">
        <f t="shared" si="35"/>
        <v>649.58930439770495</v>
      </c>
      <c r="AX49">
        <f t="shared" si="35"/>
        <v>665.83122770533305</v>
      </c>
      <c r="AY49">
        <f t="shared" si="35"/>
        <v>682.0733133052463</v>
      </c>
      <c r="AZ49">
        <f t="shared" si="35"/>
        <v>698.3155651580347</v>
      </c>
      <c r="BA49">
        <f t="shared" si="35"/>
        <v>714.55798722445093</v>
      </c>
      <c r="BB49">
        <f t="shared" si="35"/>
        <v>730.80058346541341</v>
      </c>
      <c r="BC49">
        <f t="shared" si="35"/>
        <v>747.04335784201032</v>
      </c>
      <c r="BD49">
        <f t="shared" si="35"/>
        <v>763.28631431550377</v>
      </c>
      <c r="BE49">
        <f t="shared" si="35"/>
        <v>779.52945684733356</v>
      </c>
      <c r="BF49">
        <f t="shared" si="35"/>
        <v>795.77278939912048</v>
      </c>
      <c r="BG49">
        <f t="shared" si="35"/>
        <v>812.01631593267098</v>
      </c>
      <c r="BH49">
        <f t="shared" si="35"/>
        <v>828.26004040998055</v>
      </c>
      <c r="BI49">
        <f t="shared" si="35"/>
        <v>844.50396679323774</v>
      </c>
      <c r="BJ49">
        <f t="shared" si="35"/>
        <v>860.74809904482788</v>
      </c>
      <c r="BK49">
        <f t="shared" si="35"/>
        <v>876.99244112733754</v>
      </c>
      <c r="BL49">
        <f t="shared" si="35"/>
        <v>893.23699700355724</v>
      </c>
      <c r="BM49">
        <f t="shared" si="35"/>
        <v>909.48177063648654</v>
      </c>
      <c r="BN49">
        <f t="shared" si="35"/>
        <v>925.72676598933697</v>
      </c>
      <c r="BO49">
        <f t="shared" si="35"/>
        <v>941.97198702553703</v>
      </c>
      <c r="BP49">
        <f t="shared" si="35"/>
        <v>958.21743770873468</v>
      </c>
      <c r="BQ49">
        <f t="shared" si="35"/>
        <v>974.46312200280192</v>
      </c>
      <c r="BR49">
        <f t="shared" si="35"/>
        <v>990.70904387183873</v>
      </c>
      <c r="BS49">
        <f t="shared" si="35"/>
        <v>1006.9552072801763</v>
      </c>
      <c r="BT49">
        <f t="shared" si="35"/>
        <v>1023.2016161923832</v>
      </c>
      <c r="BU49">
        <f t="shared" si="35"/>
        <v>1039.448274573266</v>
      </c>
      <c r="BV49">
        <f t="shared" si="35"/>
        <v>1055.6951863878737</v>
      </c>
      <c r="BW49">
        <f t="shared" si="36"/>
        <v>1071.9423556015049</v>
      </c>
      <c r="BX49">
        <f t="shared" si="36"/>
        <v>1088.1897861797079</v>
      </c>
      <c r="BY49">
        <f t="shared" si="36"/>
        <v>1104.4374820882856</v>
      </c>
      <c r="BZ49">
        <f t="shared" si="36"/>
        <v>1120.6854472933005</v>
      </c>
      <c r="CA49">
        <f t="shared" si="36"/>
        <v>1136.9336857610783</v>
      </c>
      <c r="CB49">
        <f t="shared" si="36"/>
        <v>1153.1822014582096</v>
      </c>
      <c r="CC49">
        <f t="shared" si="36"/>
        <v>1169.4309983515573</v>
      </c>
      <c r="CD49">
        <f t="shared" si="36"/>
        <v>1185.6800804082579</v>
      </c>
      <c r="CE49">
        <f t="shared" si="36"/>
        <v>1201.9294515957258</v>
      </c>
      <c r="CF49">
        <f t="shared" si="36"/>
        <v>1218.1791158816584</v>
      </c>
      <c r="CG49">
        <f t="shared" si="36"/>
        <v>1234.4290772340373</v>
      </c>
      <c r="CH49">
        <f t="shared" si="36"/>
        <v>1250.6793396211363</v>
      </c>
      <c r="CI49">
        <f t="shared" si="36"/>
        <v>1266.9299070115217</v>
      </c>
      <c r="CJ49">
        <f t="shared" si="36"/>
        <v>1283.1807833740568</v>
      </c>
      <c r="CK49">
        <f t="shared" si="36"/>
        <v>1299.4319726779081</v>
      </c>
      <c r="CL49">
        <f t="shared" si="36"/>
        <v>1315.6834788925464</v>
      </c>
      <c r="CM49">
        <f t="shared" si="36"/>
        <v>1331.9353059877512</v>
      </c>
      <c r="CN49">
        <f t="shared" si="36"/>
        <v>1348.1874579336172</v>
      </c>
      <c r="CO49">
        <f t="shared" si="36"/>
        <v>1364.4399387005537</v>
      </c>
      <c r="CP49">
        <f t="shared" si="36"/>
        <v>1380.6927522592932</v>
      </c>
      <c r="CQ49">
        <f t="shared" si="36"/>
        <v>1396.945902580891</v>
      </c>
      <c r="CR49">
        <f t="shared" si="36"/>
        <v>1413.1993936367326</v>
      </c>
      <c r="CS49">
        <f t="shared" si="36"/>
        <v>1429.4532293985349</v>
      </c>
      <c r="CT49">
        <f t="shared" si="36"/>
        <v>1445.7074138383521</v>
      </c>
      <c r="CU49">
        <f t="shared" si="36"/>
        <v>1461.9619509285787</v>
      </c>
      <c r="CV49">
        <f t="shared" si="36"/>
        <v>1478.2168446419535</v>
      </c>
      <c r="CW49">
        <f t="shared" si="36"/>
        <v>1494.4720989515633</v>
      </c>
      <c r="CX49">
        <f t="shared" si="36"/>
        <v>1510.7277178308461</v>
      </c>
      <c r="CY49">
        <f t="shared" si="36"/>
        <v>1526.9837052535972</v>
      </c>
      <c r="CZ49">
        <f t="shared" si="36"/>
        <v>1543.2400651939715</v>
      </c>
      <c r="DA49">
        <f t="shared" si="36"/>
        <v>1559.4968016264868</v>
      </c>
      <c r="DB49">
        <f t="shared" si="36"/>
        <v>1575.7539185260282</v>
      </c>
      <c r="DC49">
        <f t="shared" si="36"/>
        <v>1592.0114198678548</v>
      </c>
      <c r="DD49">
        <f t="shared" si="36"/>
        <v>1608.2693096275975</v>
      </c>
      <c r="DE49">
        <f t="shared" si="36"/>
        <v>1624.5275917812692</v>
      </c>
      <c r="DF49">
        <f t="shared" si="36"/>
        <v>1640.7862703052645</v>
      </c>
      <c r="DG49">
        <f t="shared" si="36"/>
        <v>1657.0453491763665</v>
      </c>
      <c r="DH49">
        <f t="shared" si="36"/>
        <v>1673.3048323717483</v>
      </c>
      <c r="DI49">
        <f t="shared" si="36"/>
        <v>1689.5647238689771</v>
      </c>
      <c r="DJ49">
        <f t="shared" si="36"/>
        <v>1705.8250276460205</v>
      </c>
      <c r="DK49">
        <f t="shared" si="36"/>
        <v>1722.0857476812484</v>
      </c>
      <c r="DL49">
        <f t="shared" si="36"/>
        <v>1738.3468879534362</v>
      </c>
      <c r="DM49">
        <f t="shared" si="36"/>
        <v>1754.6084524417709</v>
      </c>
      <c r="DN49">
        <f t="shared" si="36"/>
        <v>1770.8704451258536</v>
      </c>
      <c r="DO49">
        <f t="shared" si="36"/>
        <v>1787.1328699857031</v>
      </c>
      <c r="DP49">
        <f t="shared" si="36"/>
        <v>1803.3957310017618</v>
      </c>
      <c r="DQ49">
        <f t="shared" si="36"/>
        <v>1819.6590321548956</v>
      </c>
      <c r="DR49">
        <f t="shared" si="36"/>
        <v>1835.9227774264036</v>
      </c>
      <c r="DS49">
        <f t="shared" si="36"/>
        <v>1852.1869707980168</v>
      </c>
      <c r="DT49">
        <f t="shared" si="36"/>
        <v>1868.4516162519058</v>
      </c>
      <c r="DU49">
        <f t="shared" si="36"/>
        <v>1884.7167177706788</v>
      </c>
      <c r="DV49">
        <f t="shared" si="36"/>
        <v>1900.9822793373946</v>
      </c>
      <c r="DW49">
        <f t="shared" si="36"/>
        <v>1917.2483049355587</v>
      </c>
      <c r="DX49">
        <f t="shared" si="36"/>
        <v>1933.5147985491305</v>
      </c>
      <c r="DY49">
        <f t="shared" si="36"/>
        <v>1949.7817641625284</v>
      </c>
      <c r="DZ49">
        <f t="shared" si="36"/>
        <v>1966.0492057606293</v>
      </c>
      <c r="EA49">
        <f t="shared" si="36"/>
        <v>1982.3171273287771</v>
      </c>
      <c r="EB49">
        <f t="shared" si="36"/>
        <v>1998.5855328527853</v>
      </c>
      <c r="EC49">
        <f t="shared" si="36"/>
        <v>2014.8544263189381</v>
      </c>
      <c r="ED49">
        <f t="shared" si="36"/>
        <v>2031.1238117139985</v>
      </c>
      <c r="EE49">
        <f t="shared" si="36"/>
        <v>2047.3936930252112</v>
      </c>
      <c r="EF49">
        <f t="shared" si="36"/>
        <v>2063.6640742403038</v>
      </c>
      <c r="EG49">
        <f t="shared" si="36"/>
        <v>2079.9349593474926</v>
      </c>
      <c r="EH49">
        <f t="shared" si="36"/>
        <v>2096.2063523354877</v>
      </c>
      <c r="EI49">
        <f t="shared" si="37"/>
        <v>2112.4782571934961</v>
      </c>
      <c r="EJ49">
        <f t="shared" si="37"/>
        <v>2128.7506779112236</v>
      </c>
      <c r="EK49">
        <f t="shared" si="37"/>
        <v>2145.0236184788814</v>
      </c>
      <c r="EL49">
        <f t="shared" si="37"/>
        <v>2161.2970828871889</v>
      </c>
      <c r="EM49">
        <f t="shared" si="37"/>
        <v>2177.5710751273782</v>
      </c>
      <c r="EN49">
        <f t="shared" si="37"/>
        <v>2193.845599191196</v>
      </c>
      <c r="EO49">
        <f t="shared" si="37"/>
        <v>2210.1206590709116</v>
      </c>
      <c r="EP49">
        <f t="shared" si="37"/>
        <v>2226.3962587593155</v>
      </c>
      <c r="EQ49">
        <f t="shared" si="37"/>
        <v>2242.6724022497292</v>
      </c>
      <c r="ER49">
        <f t="shared" si="37"/>
        <v>2258.9490935360045</v>
      </c>
      <c r="ES49">
        <f t="shared" si="37"/>
        <v>2275.226336612528</v>
      </c>
      <c r="ET49">
        <f t="shared" si="37"/>
        <v>2291.504135474228</v>
      </c>
      <c r="EU49">
        <f t="shared" si="37"/>
        <v>2307.7824941165745</v>
      </c>
      <c r="EV49">
        <f t="shared" si="37"/>
        <v>2324.0614165355878</v>
      </c>
      <c r="EW49">
        <f t="shared" si="37"/>
        <v>2340.340906727838</v>
      </c>
      <c r="EX49">
        <f t="shared" si="37"/>
        <v>2356.6209686904517</v>
      </c>
      <c r="EY49">
        <f t="shared" si="37"/>
        <v>2372.9016064211128</v>
      </c>
      <c r="EZ49">
        <f t="shared" si="37"/>
        <v>2389.18282391807</v>
      </c>
      <c r="FA49">
        <f t="shared" si="37"/>
        <v>2405.464625180141</v>
      </c>
      <c r="FB49">
        <f t="shared" si="37"/>
        <v>2421.7470142067123</v>
      </c>
      <c r="FC49">
        <f t="shared" si="37"/>
        <v>2438.029994997748</v>
      </c>
      <c r="FD49">
        <f t="shared" si="37"/>
        <v>2454.3135715537878</v>
      </c>
      <c r="FE49">
        <f t="shared" si="37"/>
        <v>2470.5977478759578</v>
      </c>
      <c r="FF49">
        <f t="shared" si="37"/>
        <v>2486.88252796597</v>
      </c>
      <c r="FG49">
        <f t="shared" si="37"/>
        <v>2503.1679158261277</v>
      </c>
      <c r="FH49">
        <f t="shared" si="37"/>
        <v>2519.4539154593281</v>
      </c>
      <c r="FI49">
        <f t="shared" si="37"/>
        <v>2535.7405308690695</v>
      </c>
      <c r="FJ49">
        <f t="shared" si="37"/>
        <v>2552.027766059452</v>
      </c>
      <c r="FK49">
        <f t="shared" si="37"/>
        <v>2568.3156250351808</v>
      </c>
      <c r="FL49">
        <f t="shared" si="37"/>
        <v>2584.6041118015746</v>
      </c>
      <c r="FM49">
        <f t="shared" si="37"/>
        <v>2600.8932303645656</v>
      </c>
      <c r="FN49">
        <f t="shared" si="37"/>
        <v>2617.1829847307044</v>
      </c>
      <c r="FO49">
        <f t="shared" si="37"/>
        <v>2633.4733789071647</v>
      </c>
      <c r="FP49">
        <f t="shared" si="37"/>
        <v>2649.7644169017472</v>
      </c>
      <c r="FQ49">
        <f t="shared" si="37"/>
        <v>2666.0561027228823</v>
      </c>
      <c r="FR49">
        <f t="shared" si="37"/>
        <v>2682.3484403796365</v>
      </c>
      <c r="FS49">
        <f t="shared" si="37"/>
        <v>2698.6414338817126</v>
      </c>
      <c r="FT49">
        <f t="shared" si="37"/>
        <v>2714.9350872394575</v>
      </c>
      <c r="FU49">
        <f t="shared" si="37"/>
        <v>2731.2294044638643</v>
      </c>
      <c r="FV49">
        <f t="shared" si="37"/>
        <v>2747.5243895665767</v>
      </c>
      <c r="FW49">
        <f t="shared" si="37"/>
        <v>2763.820046559892</v>
      </c>
      <c r="FX49">
        <f t="shared" si="37"/>
        <v>2780.1163794567665</v>
      </c>
      <c r="FY49">
        <f t="shared" si="37"/>
        <v>2796.4133922708179</v>
      </c>
      <c r="FZ49">
        <f t="shared" si="37"/>
        <v>2812.7110890163326</v>
      </c>
      <c r="GA49">
        <f t="shared" si="37"/>
        <v>2829.0094737082645</v>
      </c>
      <c r="GB49">
        <f t="shared" si="37"/>
        <v>2845.3085503622433</v>
      </c>
      <c r="GC49">
        <f t="shared" si="37"/>
        <v>2861.6083229945766</v>
      </c>
      <c r="GD49">
        <f t="shared" si="37"/>
        <v>2877.9087956222543</v>
      </c>
      <c r="GE49">
        <f t="shared" si="37"/>
        <v>2894.2099722629519</v>
      </c>
      <c r="GF49">
        <f t="shared" si="37"/>
        <v>2910.5118569350366</v>
      </c>
      <c r="GG49">
        <f t="shared" si="37"/>
        <v>2926.8144536575683</v>
      </c>
      <c r="GH49">
        <f t="shared" si="37"/>
        <v>2943.1177664503048</v>
      </c>
      <c r="GI49">
        <f t="shared" si="37"/>
        <v>2959.4217993337088</v>
      </c>
      <c r="GJ49">
        <f t="shared" si="37"/>
        <v>2975.7265563289466</v>
      </c>
      <c r="GK49">
        <f t="shared" si="37"/>
        <v>2992.0320414578937</v>
      </c>
      <c r="GL49">
        <f t="shared" si="37"/>
        <v>3008.3382587431424</v>
      </c>
      <c r="GM49">
        <f t="shared" si="37"/>
        <v>3024.6452122080013</v>
      </c>
      <c r="GN49">
        <f t="shared" si="37"/>
        <v>3040.9529058765029</v>
      </c>
      <c r="GO49">
        <f t="shared" si="37"/>
        <v>3057.261343773404</v>
      </c>
      <c r="GP49">
        <f t="shared" si="37"/>
        <v>3073.5705299241927</v>
      </c>
      <c r="GQ49">
        <f t="shared" si="37"/>
        <v>3089.8804683550902</v>
      </c>
      <c r="GR49">
        <f t="shared" si="37"/>
        <v>3106.1911630930563</v>
      </c>
      <c r="GS49">
        <f t="shared" si="37"/>
        <v>3122.5026181657922</v>
      </c>
      <c r="GT49">
        <f t="shared" si="37"/>
        <v>3138.8148376017461</v>
      </c>
      <c r="GU49">
        <f t="shared" si="38"/>
        <v>3155.1278254301187</v>
      </c>
      <c r="GV49">
        <f t="shared" si="38"/>
        <v>3171.4415856808591</v>
      </c>
      <c r="GW49">
        <f t="shared" si="38"/>
        <v>3187.7561223846797</v>
      </c>
      <c r="GX49">
        <f t="shared" si="38"/>
        <v>3204.0714395730511</v>
      </c>
      <c r="GY49">
        <f t="shared" si="38"/>
        <v>3220.387541278214</v>
      </c>
      <c r="GZ49">
        <f t="shared" si="38"/>
        <v>3236.7044315331755</v>
      </c>
      <c r="HA49">
        <f t="shared" si="38"/>
        <v>3253.0221143717199</v>
      </c>
      <c r="HB49">
        <f t="shared" si="39"/>
        <v>3269.3405938284072</v>
      </c>
      <c r="HC49">
        <f t="shared" si="39"/>
        <v>3285.6598739385845</v>
      </c>
      <c r="HD49">
        <f t="shared" si="39"/>
        <v>3301.9799587383754</v>
      </c>
      <c r="HE49">
        <f t="shared" si="39"/>
        <v>3318.3008522647056</v>
      </c>
      <c r="HF49">
        <f t="shared" si="39"/>
        <v>3334.6225585552847</v>
      </c>
      <c r="HG49">
        <f t="shared" si="39"/>
        <v>3350.9450816486315</v>
      </c>
      <c r="HH49">
        <f t="shared" si="39"/>
        <v>3367.2684255840527</v>
      </c>
      <c r="HI49">
        <f t="shared" si="39"/>
        <v>3383.5925944016758</v>
      </c>
      <c r="HJ49">
        <f t="shared" si="39"/>
        <v>3399.9175921424303</v>
      </c>
      <c r="HK49">
        <f t="shared" si="39"/>
        <v>3416.2434228480615</v>
      </c>
      <c r="HL49">
        <f t="shared" si="40"/>
        <v>3432.5700905611361</v>
      </c>
      <c r="HM49">
        <f t="shared" si="40"/>
        <v>3448.8975993250397</v>
      </c>
      <c r="HN49">
        <f t="shared" si="40"/>
        <v>3465.2259531839863</v>
      </c>
      <c r="HO49">
        <f t="shared" si="40"/>
        <v>3481.5551561830202</v>
      </c>
      <c r="HP49">
        <f t="shared" si="40"/>
        <v>3497.8852123680185</v>
      </c>
      <c r="HQ49">
        <f t="shared" si="40"/>
        <v>3514.216125785701</v>
      </c>
      <c r="HR49">
        <f t="shared" si="40"/>
        <v>3530.5479004836257</v>
      </c>
      <c r="HS49">
        <f t="shared" si="40"/>
        <v>3546.8805405102025</v>
      </c>
      <c r="HT49">
        <f t="shared" si="40"/>
        <v>3563.2140499146849</v>
      </c>
      <c r="HU49">
        <f t="shared" si="40"/>
        <v>3579.5484327471891</v>
      </c>
      <c r="HV49">
        <f t="shared" si="41"/>
        <v>3595.8836930586835</v>
      </c>
      <c r="HW49">
        <f t="shared" si="41"/>
        <v>3612.219834901005</v>
      </c>
      <c r="HX49">
        <f t="shared" si="41"/>
        <v>3628.5568623268518</v>
      </c>
      <c r="HY49">
        <f t="shared" si="41"/>
        <v>3644.8947793897996</v>
      </c>
      <c r="HZ49">
        <f t="shared" si="41"/>
        <v>3661.2335901442939</v>
      </c>
      <c r="IA49">
        <f t="shared" si="41"/>
        <v>3677.573298645661</v>
      </c>
      <c r="IB49">
        <f t="shared" si="41"/>
        <v>3693.9139089501127</v>
      </c>
      <c r="IC49">
        <f t="shared" si="41"/>
        <v>3710.2554251147449</v>
      </c>
      <c r="ID49">
        <f t="shared" si="41"/>
        <v>3726.5978511975463</v>
      </c>
      <c r="IE49">
        <f t="shared" si="41"/>
        <v>3742.941191257401</v>
      </c>
      <c r="IF49">
        <f t="shared" si="42"/>
        <v>3759.2854493540913</v>
      </c>
      <c r="IG49">
        <f t="shared" si="42"/>
        <v>3775.6306295483055</v>
      </c>
      <c r="IH49">
        <f t="shared" si="42"/>
        <v>3791.9767359016396</v>
      </c>
      <c r="II49">
        <f t="shared" si="42"/>
        <v>3808.3237724765959</v>
      </c>
      <c r="IJ49">
        <f t="shared" si="42"/>
        <v>3824.6717433365998</v>
      </c>
      <c r="IK49">
        <f t="shared" si="42"/>
        <v>3841.020652545993</v>
      </c>
      <c r="IL49">
        <f t="shared" si="42"/>
        <v>3857.3705041700405</v>
      </c>
      <c r="IM49">
        <f t="shared" si="42"/>
        <v>3873.7213022749365</v>
      </c>
      <c r="IN49">
        <f t="shared" si="42"/>
        <v>3890.0730509278092</v>
      </c>
      <c r="IO49">
        <f t="shared" si="42"/>
        <v>3906.4257541967172</v>
      </c>
      <c r="IP49">
        <f t="shared" si="43"/>
        <v>3922.7794161506663</v>
      </c>
      <c r="IQ49">
        <f t="shared" si="43"/>
        <v>3939.1340408596038</v>
      </c>
      <c r="IR49">
        <f t="shared" si="43"/>
        <v>3955.4896323944231</v>
      </c>
      <c r="IS49">
        <f t="shared" si="43"/>
        <v>3971.8461948269728</v>
      </c>
      <c r="IT49">
        <f t="shared" si="43"/>
        <v>3988.2037322300584</v>
      </c>
      <c r="IU49">
        <f t="shared" si="43"/>
        <v>4004.5622486774455</v>
      </c>
      <c r="IV49">
        <f t="shared" si="43"/>
        <v>4020.9217482438626</v>
      </c>
      <c r="IW49">
        <f t="shared" si="43"/>
        <v>4037.2822350050119</v>
      </c>
      <c r="IX49">
        <f t="shared" si="43"/>
        <v>4053.6437130375652</v>
      </c>
      <c r="IY49">
        <f t="shared" si="43"/>
        <v>4070.0061864191698</v>
      </c>
      <c r="IZ49">
        <f t="shared" si="44"/>
        <v>4086.3696592284596</v>
      </c>
      <c r="JA49">
        <f t="shared" si="44"/>
        <v>4102.734135545049</v>
      </c>
      <c r="JB49">
        <f t="shared" si="44"/>
        <v>4119.0996194495447</v>
      </c>
      <c r="JC49">
        <f t="shared" si="44"/>
        <v>4135.4661150235479</v>
      </c>
      <c r="JD49">
        <f t="shared" si="44"/>
        <v>4151.8336263496521</v>
      </c>
      <c r="JE49">
        <f t="shared" si="44"/>
        <v>4168.2021575114595</v>
      </c>
      <c r="JF49">
        <f t="shared" si="44"/>
        <v>4184.5717125935735</v>
      </c>
      <c r="JG49">
        <f t="shared" si="44"/>
        <v>4200.9422956816106</v>
      </c>
      <c r="JH49">
        <f t="shared" si="44"/>
        <v>4217.313910862199</v>
      </c>
      <c r="JI49">
        <f t="shared" si="44"/>
        <v>4233.686562222987</v>
      </c>
      <c r="JJ49">
        <f t="shared" si="45"/>
        <v>4250.0602538526455</v>
      </c>
      <c r="JK49">
        <f t="shared" si="45"/>
        <v>4266.43498984087</v>
      </c>
      <c r="JL49">
        <f t="shared" si="45"/>
        <v>4282.8107742783905</v>
      </c>
      <c r="JM49">
        <f t="shared" si="45"/>
        <v>4299.187611256968</v>
      </c>
      <c r="JN49">
        <f t="shared" si="45"/>
        <v>4315.5655048694034</v>
      </c>
      <c r="JO49">
        <f t="shared" si="45"/>
        <v>4331.9444592095433</v>
      </c>
      <c r="JP49">
        <f t="shared" si="45"/>
        <v>4348.3244783722785</v>
      </c>
      <c r="JQ49">
        <f t="shared" si="45"/>
        <v>4364.7055664535546</v>
      </c>
      <c r="JR49">
        <f t="shared" si="45"/>
        <v>4381.0877275503672</v>
      </c>
      <c r="JS49">
        <f t="shared" si="45"/>
        <v>4397.4709657607791</v>
      </c>
      <c r="JT49">
        <f t="shared" si="46"/>
        <v>4413.8552851839104</v>
      </c>
      <c r="JU49">
        <f t="shared" si="46"/>
        <v>4430.2406899199532</v>
      </c>
      <c r="JV49">
        <f t="shared" si="46"/>
        <v>4446.6271840701711</v>
      </c>
      <c r="JW49">
        <f t="shared" si="46"/>
        <v>4463.0147717369027</v>
      </c>
      <c r="JX49">
        <f t="shared" si="46"/>
        <v>4479.4034570235681</v>
      </c>
      <c r="JY49">
        <f t="shared" si="46"/>
        <v>4495.7932440346731</v>
      </c>
      <c r="JZ49">
        <f t="shared" si="46"/>
        <v>4512.1841368758114</v>
      </c>
      <c r="KA49">
        <f t="shared" si="46"/>
        <v>4528.5761396536691</v>
      </c>
      <c r="KB49">
        <f t="shared" si="46"/>
        <v>4544.9692564760298</v>
      </c>
      <c r="KC49">
        <f t="shared" si="46"/>
        <v>4561.363491451777</v>
      </c>
      <c r="KD49">
        <f t="shared" si="47"/>
        <v>4577.7588486909062</v>
      </c>
      <c r="KE49">
        <f t="shared" si="47"/>
        <v>4594.1553323045146</v>
      </c>
      <c r="KF49">
        <f t="shared" si="47"/>
        <v>4610.5529464048186</v>
      </c>
      <c r="KG49">
        <f t="shared" si="47"/>
        <v>4626.9516951051464</v>
      </c>
      <c r="KH49">
        <f t="shared" si="47"/>
        <v>4643.3515825199593</v>
      </c>
      <c r="KI49">
        <f t="shared" si="47"/>
        <v>4659.7526127648343</v>
      </c>
      <c r="KJ49">
        <f t="shared" si="47"/>
        <v>4676.1547899564857</v>
      </c>
      <c r="KK49">
        <f t="shared" si="47"/>
        <v>4692.5581182127571</v>
      </c>
      <c r="KL49">
        <f t="shared" si="47"/>
        <v>4708.962601652639</v>
      </c>
      <c r="KM49">
        <f t="shared" si="47"/>
        <v>4725.3682443962552</v>
      </c>
      <c r="KN49">
        <f t="shared" si="48"/>
        <v>4741.7750505648864</v>
      </c>
      <c r="KO49">
        <f t="shared" si="48"/>
        <v>4758.1830242809583</v>
      </c>
      <c r="KP49">
        <f t="shared" si="48"/>
        <v>4774.5921696680571</v>
      </c>
      <c r="KQ49">
        <f t="shared" si="48"/>
        <v>4791.0024908509222</v>
      </c>
      <c r="KR49">
        <f t="shared" si="48"/>
        <v>4807.4139919554691</v>
      </c>
      <c r="KS49">
        <f t="shared" si="48"/>
        <v>4823.8266771087692</v>
      </c>
      <c r="KT49">
        <f t="shared" si="48"/>
        <v>4840.2405504390717</v>
      </c>
      <c r="KU49">
        <f t="shared" si="48"/>
        <v>4856.6556160758073</v>
      </c>
      <c r="KV49">
        <f t="shared" si="48"/>
        <v>4873.0718781495798</v>
      </c>
      <c r="KW49">
        <f t="shared" si="48"/>
        <v>4889.4893407921818</v>
      </c>
      <c r="KX49">
        <f t="shared" si="49"/>
        <v>4905.9080081365955</v>
      </c>
      <c r="KY49">
        <f t="shared" si="49"/>
        <v>4922.3278843169992</v>
      </c>
      <c r="KZ49">
        <f t="shared" si="49"/>
        <v>4938.7489734687642</v>
      </c>
      <c r="LA49">
        <f t="shared" si="49"/>
        <v>4955.1712797284681</v>
      </c>
      <c r="LB49">
        <f t="shared" si="49"/>
        <v>4971.5948072338952</v>
      </c>
      <c r="LC49">
        <f t="shared" si="49"/>
        <v>4988.0195601240357</v>
      </c>
      <c r="LD49">
        <f t="shared" si="49"/>
        <v>5004.4455425391006</v>
      </c>
      <c r="LE49">
        <f t="shared" si="49"/>
        <v>5020.872758620515</v>
      </c>
      <c r="LF49">
        <f t="shared" si="49"/>
        <v>5037.3012125109335</v>
      </c>
      <c r="LG49">
        <f t="shared" si="49"/>
        <v>5053.7309083542305</v>
      </c>
      <c r="LH49">
        <f t="shared" si="50"/>
        <v>5070.1618502955189</v>
      </c>
      <c r="LI49">
        <f t="shared" si="50"/>
        <v>5086.594042481147</v>
      </c>
      <c r="LJ49">
        <f t="shared" si="50"/>
        <v>5103.0274890586988</v>
      </c>
      <c r="LK49">
        <f t="shared" si="50"/>
        <v>5119.4621941770065</v>
      </c>
      <c r="LL49">
        <f t="shared" si="50"/>
        <v>5135.8981619861515</v>
      </c>
      <c r="LM49">
        <f t="shared" si="50"/>
        <v>5152.3353966374689</v>
      </c>
      <c r="LN49">
        <f t="shared" si="50"/>
        <v>5168.7739022835485</v>
      </c>
      <c r="LO49">
        <f t="shared" si="50"/>
        <v>5185.2136830782447</v>
      </c>
      <c r="LP49">
        <f t="shared" si="50"/>
        <v>5201.6547431766758</v>
      </c>
      <c r="LQ49">
        <f t="shared" si="50"/>
        <v>5218.0970867352316</v>
      </c>
      <c r="LR49">
        <f t="shared" si="51"/>
        <v>5234.5407179115746</v>
      </c>
      <c r="LS49">
        <f t="shared" si="51"/>
        <v>5250.985640864651</v>
      </c>
      <c r="LT49">
        <f t="shared" si="51"/>
        <v>5267.4318597546844</v>
      </c>
      <c r="LU49">
        <f t="shared" si="51"/>
        <v>5283.8793787431887</v>
      </c>
      <c r="LV49">
        <f t="shared" si="51"/>
        <v>5300.3282019929684</v>
      </c>
      <c r="LW49">
        <f t="shared" si="51"/>
        <v>5316.7783336681241</v>
      </c>
      <c r="LX49">
        <f t="shared" si="51"/>
        <v>5333.229777934057</v>
      </c>
      <c r="LY49">
        <f t="shared" si="51"/>
        <v>5349.6825389574733</v>
      </c>
      <c r="LZ49">
        <f t="shared" si="51"/>
        <v>5366.1366209063881</v>
      </c>
      <c r="MA49">
        <f t="shared" si="51"/>
        <v>5382.5920279501297</v>
      </c>
      <c r="MB49">
        <f t="shared" si="52"/>
        <v>5399.0487642593416</v>
      </c>
      <c r="MC49">
        <f t="shared" si="52"/>
        <v>5415.5068340059897</v>
      </c>
      <c r="MD49">
        <f t="shared" si="52"/>
        <v>5431.9662413633705</v>
      </c>
      <c r="ME49">
        <f t="shared" si="52"/>
        <v>5448.4269905061055</v>
      </c>
      <c r="MF49">
        <f t="shared" si="52"/>
        <v>5464.8890856101543</v>
      </c>
      <c r="MG49">
        <f t="shared" si="52"/>
        <v>5481.3525308528115</v>
      </c>
      <c r="MH49">
        <f t="shared" si="52"/>
        <v>5497.8173304127185</v>
      </c>
      <c r="MI49">
        <f t="shared" si="52"/>
        <v>5514.2834884698614</v>
      </c>
      <c r="MJ49">
        <f t="shared" si="52"/>
        <v>5530.7510092055863</v>
      </c>
      <c r="MK49">
        <f t="shared" si="52"/>
        <v>5547.2198968025823</v>
      </c>
      <c r="ML49">
        <f t="shared" si="53"/>
        <v>5563.6901554449123</v>
      </c>
      <c r="MM49">
        <f t="shared" si="53"/>
        <v>5580.1617893179937</v>
      </c>
      <c r="MN49">
        <f t="shared" si="53"/>
        <v>5596.6348026086207</v>
      </c>
      <c r="MO49">
        <f t="shared" si="53"/>
        <v>5613.1091995049565</v>
      </c>
      <c r="MP49">
        <f t="shared" si="53"/>
        <v>5629.5849841965446</v>
      </c>
      <c r="MQ49">
        <f t="shared" si="53"/>
        <v>5646.0621608743095</v>
      </c>
      <c r="MR49">
        <f t="shared" si="53"/>
        <v>5662.5407337305651</v>
      </c>
      <c r="MS49">
        <f t="shared" si="53"/>
        <v>5679.0207069590115</v>
      </c>
      <c r="MT49">
        <f t="shared" si="53"/>
        <v>5695.5020847547503</v>
      </c>
      <c r="MU49">
        <f t="shared" si="53"/>
        <v>5711.9848713142774</v>
      </c>
      <c r="MV49">
        <f t="shared" si="54"/>
        <v>5728.4690708354938</v>
      </c>
      <c r="MW49">
        <f t="shared" si="54"/>
        <v>5744.9546875177111</v>
      </c>
      <c r="MX49">
        <f t="shared" si="54"/>
        <v>5761.4417255616554</v>
      </c>
      <c r="MY49">
        <f t="shared" si="54"/>
        <v>5777.9301891694631</v>
      </c>
      <c r="MZ49">
        <f t="shared" si="54"/>
        <v>5794.4200825446987</v>
      </c>
      <c r="NA49">
        <f t="shared" si="54"/>
        <v>5810.9114098923528</v>
      </c>
      <c r="NB49">
        <f t="shared" si="54"/>
        <v>5827.4041754188365</v>
      </c>
      <c r="NC49">
        <f t="shared" si="54"/>
        <v>5843.8983833320117</v>
      </c>
      <c r="ND49">
        <f t="shared" si="54"/>
        <v>5860.3940378411662</v>
      </c>
      <c r="NE49">
        <f t="shared" si="54"/>
        <v>5876.8911431570359</v>
      </c>
      <c r="NF49">
        <f t="shared" si="55"/>
        <v>5893.3897034918036</v>
      </c>
      <c r="NG49">
        <f t="shared" si="55"/>
        <v>5909.8897230591101</v>
      </c>
      <c r="NH49">
        <f t="shared" si="55"/>
        <v>5926.3912060740413</v>
      </c>
      <c r="NI49">
        <f t="shared" si="55"/>
        <v>5942.8941567531556</v>
      </c>
      <c r="NJ49">
        <f t="shared" si="55"/>
        <v>5959.3985793144702</v>
      </c>
      <c r="NK49">
        <f t="shared" si="55"/>
        <v>5975.9044779774767</v>
      </c>
      <c r="NL49">
        <f t="shared" si="55"/>
        <v>5992.4118569631319</v>
      </c>
      <c r="NM49">
        <f t="shared" si="55"/>
        <v>6008.9207204938866</v>
      </c>
      <c r="NN49">
        <f t="shared" si="55"/>
        <v>6025.4310727936609</v>
      </c>
      <c r="NO49">
        <f t="shared" si="55"/>
        <v>6041.9429180878669</v>
      </c>
      <c r="NP49">
        <f t="shared" si="56"/>
        <v>6058.4562606034106</v>
      </c>
      <c r="NQ49">
        <f t="shared" si="56"/>
        <v>6074.9711045686936</v>
      </c>
      <c r="NR49">
        <f t="shared" si="56"/>
        <v>6091.4874542136176</v>
      </c>
      <c r="NS49">
        <f t="shared" si="56"/>
        <v>6108.0053137695877</v>
      </c>
      <c r="NT49">
        <f t="shared" si="56"/>
        <v>6124.5246874695231</v>
      </c>
      <c r="NU49">
        <f t="shared" si="56"/>
        <v>6141.0455795478529</v>
      </c>
      <c r="NV49">
        <f t="shared" si="56"/>
        <v>6157.5679942405268</v>
      </c>
      <c r="NW49">
        <f t="shared" si="56"/>
        <v>6174.0919357850207</v>
      </c>
      <c r="NX49">
        <f t="shared" si="56"/>
        <v>6190.6174084203285</v>
      </c>
      <c r="NY49">
        <f t="shared" si="56"/>
        <v>6207.1444163869874</v>
      </c>
      <c r="NZ49">
        <f t="shared" si="57"/>
        <v>6223.6729639270616</v>
      </c>
      <c r="OA49">
        <f t="shared" si="57"/>
        <v>6240.2030552841607</v>
      </c>
      <c r="OB49">
        <f t="shared" si="57"/>
        <v>6256.7346947034403</v>
      </c>
      <c r="OC49">
        <f t="shared" si="57"/>
        <v>6273.2678864316031</v>
      </c>
      <c r="OD49">
        <f t="shared" si="57"/>
        <v>6289.8026347169116</v>
      </c>
      <c r="OE49">
        <f t="shared" si="57"/>
        <v>6306.3389438091745</v>
      </c>
      <c r="OF49">
        <f t="shared" si="57"/>
        <v>6322.876817959781</v>
      </c>
      <c r="OG49">
        <f t="shared" si="57"/>
        <v>6339.4162614216693</v>
      </c>
      <c r="OH49">
        <f t="shared" si="57"/>
        <v>6355.9572784493685</v>
      </c>
      <c r="OI49">
        <f t="shared" si="57"/>
        <v>6372.4998732989689</v>
      </c>
      <c r="OJ49">
        <f t="shared" si="58"/>
        <v>6389.0440502281499</v>
      </c>
      <c r="OK49">
        <f t="shared" si="58"/>
        <v>6405.5898134961735</v>
      </c>
      <c r="OL49">
        <f t="shared" si="58"/>
        <v>6422.1371673638942</v>
      </c>
      <c r="OM49">
        <f t="shared" si="58"/>
        <v>6438.6861160937588</v>
      </c>
      <c r="ON49">
        <f t="shared" si="58"/>
        <v>6455.2366639498132</v>
      </c>
      <c r="OO49">
        <f t="shared" si="58"/>
        <v>6471.7888151977113</v>
      </c>
      <c r="OP49">
        <f t="shared" si="58"/>
        <v>6488.3425741047085</v>
      </c>
      <c r="OQ49">
        <f t="shared" si="58"/>
        <v>6504.8979449396738</v>
      </c>
      <c r="OR49">
        <f t="shared" si="58"/>
        <v>6521.4549319731013</v>
      </c>
      <c r="OS49">
        <f t="shared" si="58"/>
        <v>6538.0135394770959</v>
      </c>
      <c r="OT49">
        <f t="shared" si="59"/>
        <v>6554.573771725396</v>
      </c>
      <c r="OU49">
        <f t="shared" si="59"/>
        <v>6571.135632993366</v>
      </c>
      <c r="OV49">
        <f t="shared" si="59"/>
        <v>6587.6991275580103</v>
      </c>
      <c r="OW49">
        <f t="shared" si="59"/>
        <v>6604.2642596979695</v>
      </c>
      <c r="OX49">
        <f t="shared" si="59"/>
        <v>6620.8310336935292</v>
      </c>
      <c r="OY49">
        <f t="shared" si="59"/>
        <v>6637.3994538266234</v>
      </c>
      <c r="OZ49">
        <f t="shared" si="59"/>
        <v>6653.9695243808419</v>
      </c>
      <c r="PA49">
        <f t="shared" si="59"/>
        <v>6670.5412496414283</v>
      </c>
      <c r="PB49">
        <f t="shared" si="59"/>
        <v>6687.1146338952958</v>
      </c>
      <c r="PC49">
        <f t="shared" si="59"/>
        <v>6703.6896814310121</v>
      </c>
      <c r="PD49">
        <f t="shared" si="60"/>
        <v>6720.2663965388329</v>
      </c>
      <c r="PE49">
        <f t="shared" si="60"/>
        <v>6736.8447835106745</v>
      </c>
      <c r="PF49">
        <f t="shared" si="60"/>
        <v>6753.4248466401423</v>
      </c>
      <c r="PG49">
        <f t="shared" si="60"/>
        <v>6770.0065902225315</v>
      </c>
      <c r="PH49">
        <f t="shared" si="60"/>
        <v>6786.5900185548135</v>
      </c>
      <c r="PI49">
        <f t="shared" si="60"/>
        <v>6803.1751359356649</v>
      </c>
      <c r="PJ49">
        <f t="shared" si="60"/>
        <v>6819.7619466654551</v>
      </c>
      <c r="PK49">
        <f t="shared" si="60"/>
        <v>6836.3504550462658</v>
      </c>
      <c r="PL49">
        <f t="shared" si="60"/>
        <v>6852.9406653818796</v>
      </c>
      <c r="PM49">
        <f t="shared" si="60"/>
        <v>6869.5325819777891</v>
      </c>
      <c r="PN49">
        <f t="shared" si="61"/>
        <v>6886.1262091412136</v>
      </c>
      <c r="PO49">
        <f t="shared" si="61"/>
        <v>6902.7215511810882</v>
      </c>
      <c r="PP49">
        <f t="shared" si="61"/>
        <v>6919.3186124080748</v>
      </c>
      <c r="PQ49">
        <f t="shared" si="61"/>
        <v>6935.9173971345645</v>
      </c>
      <c r="PR49">
        <f t="shared" si="61"/>
        <v>6952.5179096746951</v>
      </c>
      <c r="PS49">
        <f t="shared" si="61"/>
        <v>6969.1201543443276</v>
      </c>
      <c r="PT49">
        <f t="shared" si="61"/>
        <v>6985.7241354610851</v>
      </c>
      <c r="PU49">
        <f t="shared" si="61"/>
        <v>7002.329857344328</v>
      </c>
      <c r="PV49">
        <f t="shared" si="61"/>
        <v>7018.9373243151758</v>
      </c>
      <c r="PW49">
        <f t="shared" si="61"/>
        <v>7035.546540696505</v>
      </c>
      <c r="PX49">
        <f t="shared" si="62"/>
        <v>7052.1575108129618</v>
      </c>
      <c r="PY49">
        <f t="shared" si="62"/>
        <v>7068.7702389909518</v>
      </c>
      <c r="PZ49">
        <f t="shared" si="62"/>
        <v>7085.3847295586611</v>
      </c>
      <c r="QA49">
        <f t="shared" si="62"/>
        <v>7102.0009868460429</v>
      </c>
      <c r="QB49">
        <f t="shared" si="62"/>
        <v>7118.6190151848459</v>
      </c>
      <c r="QC49">
        <f t="shared" si="62"/>
        <v>7135.2388189085978</v>
      </c>
      <c r="QD49">
        <f t="shared" si="62"/>
        <v>7151.860402352615</v>
      </c>
      <c r="QE49">
        <f t="shared" si="62"/>
        <v>7168.4837698540159</v>
      </c>
      <c r="QF49">
        <f t="shared" si="62"/>
        <v>7185.108925751716</v>
      </c>
      <c r="QG49">
        <f t="shared" si="62"/>
        <v>7201.7358743864415</v>
      </c>
      <c r="QH49">
        <f t="shared" si="63"/>
        <v>7218.3646201007195</v>
      </c>
      <c r="QI49">
        <f t="shared" si="63"/>
        <v>7234.9951672388988</v>
      </c>
      <c r="QJ49">
        <f t="shared" si="63"/>
        <v>7251.6275201471453</v>
      </c>
      <c r="QK49">
        <f t="shared" si="63"/>
        <v>7268.2616831734522</v>
      </c>
      <c r="QL49">
        <f t="shared" si="63"/>
        <v>7284.8976606676379</v>
      </c>
      <c r="QM49">
        <f t="shared" si="63"/>
        <v>7301.5354569813517</v>
      </c>
      <c r="QN49">
        <f t="shared" si="63"/>
        <v>7318.1750764680837</v>
      </c>
      <c r="QO49">
        <f t="shared" si="63"/>
        <v>7334.8165234831768</v>
      </c>
      <c r="QP49">
        <f t="shared" si="63"/>
        <v>7351.4598023838025</v>
      </c>
      <c r="QQ49">
        <f t="shared" si="63"/>
        <v>7368.1049175289972</v>
      </c>
      <c r="QR49">
        <f t="shared" si="64"/>
        <v>7384.7518732796543</v>
      </c>
      <c r="QS49">
        <f t="shared" si="64"/>
        <v>7401.400673998518</v>
      </c>
      <c r="QT49">
        <f t="shared" si="64"/>
        <v>7418.0513240502205</v>
      </c>
      <c r="QU49">
        <f t="shared" si="64"/>
        <v>7434.7038278012387</v>
      </c>
      <c r="QV49">
        <f t="shared" si="64"/>
        <v>7451.3581896199412</v>
      </c>
      <c r="QW49">
        <f t="shared" si="64"/>
        <v>7468.0144138765781</v>
      </c>
      <c r="QX49">
        <f t="shared" si="64"/>
        <v>7484.672504943288</v>
      </c>
      <c r="QY49">
        <f t="shared" si="64"/>
        <v>7501.3324671940636</v>
      </c>
      <c r="QZ49">
        <f t="shared" si="64"/>
        <v>7517.9943050048514</v>
      </c>
      <c r="RA49">
        <f t="shared" si="64"/>
        <v>7534.658022753455</v>
      </c>
      <c r="RB49">
        <f t="shared" si="65"/>
        <v>7551.323624819609</v>
      </c>
      <c r="RC49">
        <f t="shared" si="65"/>
        <v>7567.9911155849095</v>
      </c>
      <c r="RD49">
        <f t="shared" si="65"/>
        <v>7584.6604994329273</v>
      </c>
      <c r="RE49">
        <f t="shared" si="65"/>
        <v>7601.3317807491185</v>
      </c>
      <c r="RF49">
        <f t="shared" si="65"/>
        <v>7618.0049639208737</v>
      </c>
      <c r="RG49">
        <f t="shared" si="65"/>
        <v>7634.6800533374835</v>
      </c>
      <c r="RH49">
        <f t="shared" si="65"/>
        <v>7651.3570533902157</v>
      </c>
      <c r="RI49">
        <f t="shared" si="65"/>
        <v>7668.0359684722498</v>
      </c>
      <c r="RJ49">
        <f t="shared" si="65"/>
        <v>7684.7168029787172</v>
      </c>
      <c r="RK49">
        <f t="shared" si="65"/>
        <v>7701.3995613066691</v>
      </c>
      <c r="RL49">
        <f t="shared" si="66"/>
        <v>7718.0842478551513</v>
      </c>
      <c r="RM49">
        <f t="shared" si="66"/>
        <v>7734.7708670251432</v>
      </c>
      <c r="RN49">
        <f t="shared" si="66"/>
        <v>7751.4594232195941</v>
      </c>
      <c r="RO49">
        <f t="shared" si="66"/>
        <v>7768.1499208433906</v>
      </c>
      <c r="RP49">
        <f t="shared" si="66"/>
        <v>7784.8423643034412</v>
      </c>
      <c r="RQ49">
        <f t="shared" si="66"/>
        <v>7801.5367580085885</v>
      </c>
      <c r="RR49">
        <f t="shared" si="66"/>
        <v>7818.2331063696884</v>
      </c>
      <c r="RS49">
        <f t="shared" si="66"/>
        <v>7834.9314137995361</v>
      </c>
      <c r="RT49">
        <f t="shared" si="66"/>
        <v>7851.6316847129729</v>
      </c>
      <c r="RU49">
        <f t="shared" si="66"/>
        <v>7868.3339235268068</v>
      </c>
      <c r="RV49">
        <f t="shared" si="67"/>
        <v>7885.0381346598342</v>
      </c>
      <c r="RW49">
        <f t="shared" si="67"/>
        <v>7901.744322532877</v>
      </c>
      <c r="RX49">
        <f t="shared" si="67"/>
        <v>7918.4524915687571</v>
      </c>
      <c r="RY49">
        <f t="shared" si="67"/>
        <v>7935.1626461923352</v>
      </c>
      <c r="RZ49">
        <f t="shared" si="67"/>
        <v>7951.8747908304485</v>
      </c>
      <c r="SA49">
        <f t="shared" si="67"/>
        <v>7968.5889299119899</v>
      </c>
      <c r="SB49">
        <f t="shared" si="67"/>
        <v>7985.3050678678619</v>
      </c>
      <c r="SC49">
        <f t="shared" si="67"/>
        <v>8002.0232091310445</v>
      </c>
      <c r="SD49">
        <f t="shared" si="67"/>
        <v>8018.7433581364912</v>
      </c>
      <c r="SE49">
        <f t="shared" si="67"/>
        <v>8035.4655193212493</v>
      </c>
      <c r="SF49">
        <f t="shared" si="68"/>
        <v>8052.1896971243859</v>
      </c>
      <c r="SG49">
        <f t="shared" si="68"/>
        <v>8068.9158959870629</v>
      </c>
      <c r="SH49">
        <f t="shared" si="68"/>
        <v>8085.644120352441</v>
      </c>
      <c r="SI49">
        <f t="shared" si="68"/>
        <v>8102.3743746657919</v>
      </c>
      <c r="SJ49">
        <f t="shared" si="68"/>
        <v>8119.1066633744285</v>
      </c>
      <c r="SK49">
        <f t="shared" si="68"/>
        <v>8135.8409909277707</v>
      </c>
      <c r="SL49">
        <f t="shared" si="68"/>
        <v>8152.5773617772738</v>
      </c>
      <c r="SM49">
        <f t="shared" si="68"/>
        <v>8169.3157803764998</v>
      </c>
      <c r="SN49">
        <f t="shared" si="68"/>
        <v>8186.0562511810949</v>
      </c>
      <c r="SO49">
        <f t="shared" si="68"/>
        <v>8202.7987786488102</v>
      </c>
      <c r="SP49">
        <f t="shared" si="69"/>
        <v>8219.5433672394756</v>
      </c>
      <c r="SQ49">
        <f t="shared" si="69"/>
        <v>8236.2900214150286</v>
      </c>
      <c r="SR49">
        <f t="shared" si="69"/>
        <v>8253.0387456395292</v>
      </c>
      <c r="SS49">
        <f t="shared" si="69"/>
        <v>8269.789544379124</v>
      </c>
      <c r="ST49">
        <f t="shared" si="69"/>
        <v>8286.542422102104</v>
      </c>
      <c r="SU49">
        <f t="shared" si="69"/>
        <v>8303.297383278863</v>
      </c>
      <c r="SV49">
        <f t="shared" si="69"/>
        <v>8320.054432381934</v>
      </c>
      <c r="SW49">
        <f t="shared" si="69"/>
        <v>8336.8135738859746</v>
      </c>
      <c r="SX49">
        <f t="shared" si="69"/>
        <v>8353.5748122677869</v>
      </c>
      <c r="SY49">
        <f t="shared" si="69"/>
        <v>8370.3381520063085</v>
      </c>
      <c r="SZ49">
        <f t="shared" si="70"/>
        <v>8387.1035975826344</v>
      </c>
      <c r="TA49">
        <f t="shared" si="70"/>
        <v>8403.8711534800022</v>
      </c>
      <c r="TB49">
        <f t="shared" si="70"/>
        <v>8420.6408241838071</v>
      </c>
      <c r="TC49">
        <f t="shared" si="70"/>
        <v>8437.4126141816178</v>
      </c>
      <c r="TD49">
        <f t="shared" si="70"/>
        <v>8454.1865279631565</v>
      </c>
      <c r="TE49">
        <f t="shared" si="70"/>
        <v>8470.9625700203269</v>
      </c>
      <c r="TF49">
        <f t="shared" si="70"/>
        <v>8487.7407448472059</v>
      </c>
      <c r="TG49">
        <f t="shared" si="70"/>
        <v>8504.5210569400551</v>
      </c>
      <c r="TH49">
        <f t="shared" si="70"/>
        <v>8521.303510797321</v>
      </c>
      <c r="TI49">
        <f t="shared" si="70"/>
        <v>8538.0881109196453</v>
      </c>
      <c r="TJ49">
        <f t="shared" si="71"/>
        <v>8554.8748618098616</v>
      </c>
      <c r="TK49">
        <f t="shared" si="71"/>
        <v>8571.6637679730156</v>
      </c>
      <c r="TL49">
        <f t="shared" si="71"/>
        <v>8588.4548339163539</v>
      </c>
      <c r="TM49">
        <f t="shared" si="71"/>
        <v>8605.2480641493312</v>
      </c>
      <c r="TN49">
        <f t="shared" si="71"/>
        <v>8622.0434631836342</v>
      </c>
      <c r="TO49">
        <f t="shared" si="71"/>
        <v>8638.8410355331525</v>
      </c>
      <c r="TP49">
        <f t="shared" si="71"/>
        <v>8655.6407857140221</v>
      </c>
      <c r="TQ49">
        <f t="shared" si="71"/>
        <v>8672.4427182446034</v>
      </c>
      <c r="TR49">
        <f t="shared" si="71"/>
        <v>8689.2468376454908</v>
      </c>
      <c r="TS49">
        <f t="shared" si="71"/>
        <v>8706.0531484395251</v>
      </c>
      <c r="TT49">
        <f t="shared" si="72"/>
        <v>8722.8616551518026</v>
      </c>
      <c r="TU49">
        <f t="shared" si="72"/>
        <v>8739.6723623096568</v>
      </c>
      <c r="TV49">
        <f t="shared" si="72"/>
        <v>8756.4852744426935</v>
      </c>
      <c r="TW49">
        <f t="shared" si="72"/>
        <v>8773.3003960827737</v>
      </c>
      <c r="TX49">
        <f t="shared" si="72"/>
        <v>8790.1177317640286</v>
      </c>
      <c r="TY49">
        <f t="shared" si="72"/>
        <v>8806.937286022865</v>
      </c>
      <c r="TZ49">
        <f t="shared" si="72"/>
        <v>8823.7590633979635</v>
      </c>
      <c r="UA49">
        <f t="shared" si="72"/>
        <v>8840.5830684302928</v>
      </c>
      <c r="UB49">
        <f t="shared" si="72"/>
        <v>8857.4093056631082</v>
      </c>
      <c r="UC49">
        <f t="shared" si="72"/>
        <v>8874.2377796419623</v>
      </c>
      <c r="UD49">
        <f t="shared" si="73"/>
        <v>8891.0684949146962</v>
      </c>
      <c r="UE49">
        <f t="shared" si="73"/>
        <v>8907.9014560314663</v>
      </c>
      <c r="UF49">
        <f t="shared" si="73"/>
        <v>8924.7366675447374</v>
      </c>
      <c r="UG49">
        <f t="shared" si="73"/>
        <v>8941.5741340092773</v>
      </c>
      <c r="UH49">
        <f t="shared" si="73"/>
        <v>8958.4138599821872</v>
      </c>
      <c r="UI49">
        <f t="shared" si="73"/>
        <v>8975.2558500228806</v>
      </c>
      <c r="UJ49">
        <f t="shared" si="73"/>
        <v>8992.1001086931155</v>
      </c>
      <c r="UK49">
        <f t="shared" si="73"/>
        <v>9008.9466405569674</v>
      </c>
      <c r="UL49">
        <f t="shared" si="73"/>
        <v>9025.7954501808654</v>
      </c>
      <c r="UM49">
        <f t="shared" si="73"/>
        <v>9042.6465421335797</v>
      </c>
      <c r="UN49">
        <f t="shared" si="74"/>
        <v>9059.4999209862272</v>
      </c>
      <c r="UO49">
        <f t="shared" si="74"/>
        <v>9076.3555913122818</v>
      </c>
      <c r="UP49">
        <f t="shared" si="74"/>
        <v>9093.213557687588</v>
      </c>
      <c r="UQ49">
        <f t="shared" si="74"/>
        <v>9110.0738246903402</v>
      </c>
      <c r="UR49">
        <f t="shared" si="74"/>
        <v>9126.9363969011101</v>
      </c>
      <c r="US49">
        <f t="shared" si="74"/>
        <v>9143.801278902858</v>
      </c>
      <c r="UT49">
        <f t="shared" si="74"/>
        <v>9160.6684752809015</v>
      </c>
      <c r="UU49">
        <f t="shared" si="74"/>
        <v>9177.5379906229664</v>
      </c>
      <c r="UV49">
        <f t="shared" si="74"/>
        <v>9194.4098295191579</v>
      </c>
      <c r="UW49">
        <f t="shared" si="74"/>
        <v>9211.2839965619878</v>
      </c>
      <c r="UX49">
        <f t="shared" si="75"/>
        <v>9228.1604963463633</v>
      </c>
      <c r="UY49">
        <f t="shared" si="75"/>
        <v>9245.0393334696</v>
      </c>
      <c r="UZ49">
        <f t="shared" si="75"/>
        <v>9261.9205125314274</v>
      </c>
      <c r="VA49">
        <f t="shared" si="75"/>
        <v>9278.8040381339961</v>
      </c>
      <c r="VB49">
        <f t="shared" si="75"/>
        <v>9295.6899148818829</v>
      </c>
      <c r="VC49">
        <f t="shared" si="75"/>
        <v>9312.5781473820698</v>
      </c>
      <c r="VD49">
        <f t="shared" si="75"/>
        <v>9329.4687402440068</v>
      </c>
      <c r="VE49">
        <f t="shared" si="75"/>
        <v>9346.3616980795559</v>
      </c>
      <c r="VF49">
        <f t="shared" si="75"/>
        <v>9363.2570255030441</v>
      </c>
      <c r="VG49">
        <f t="shared" si="75"/>
        <v>9380.1547271312338</v>
      </c>
      <c r="VH49">
        <f t="shared" si="76"/>
        <v>9397.0548075833467</v>
      </c>
      <c r="VI49">
        <f t="shared" si="76"/>
        <v>9413.9572714810656</v>
      </c>
      <c r="VJ49">
        <f t="shared" si="76"/>
        <v>9430.8621234485345</v>
      </c>
      <c r="VK49">
        <f t="shared" si="76"/>
        <v>9447.7693681123747</v>
      </c>
      <c r="VL49">
        <f t="shared" si="76"/>
        <v>9464.679010101685</v>
      </c>
      <c r="VM49">
        <f t="shared" si="76"/>
        <v>9481.5910540480327</v>
      </c>
      <c r="VN49">
        <f t="shared" si="76"/>
        <v>9498.5055045854879</v>
      </c>
      <c r="VO49">
        <f t="shared" si="76"/>
        <v>9515.4223663506018</v>
      </c>
      <c r="VP49">
        <f t="shared" si="76"/>
        <v>9532.3416439824268</v>
      </c>
      <c r="VQ49">
        <f t="shared" si="76"/>
        <v>9549.2633421225164</v>
      </c>
      <c r="VR49">
        <f t="shared" si="77"/>
        <v>9566.1874654149378</v>
      </c>
      <c r="VS49">
        <f t="shared" si="77"/>
        <v>9583.114018506265</v>
      </c>
      <c r="VT49">
        <f t="shared" si="77"/>
        <v>9600.043006045591</v>
      </c>
      <c r="VU49">
        <f t="shared" si="77"/>
        <v>9616.9744326845394</v>
      </c>
      <c r="VV49">
        <f t="shared" si="77"/>
        <v>9633.9083030772526</v>
      </c>
      <c r="VW49">
        <f t="shared" si="77"/>
        <v>9650.8446218804202</v>
      </c>
      <c r="VX49">
        <f t="shared" si="77"/>
        <v>9667.7833937532596</v>
      </c>
      <c r="VY49">
        <f t="shared" si="77"/>
        <v>9684.7246233575479</v>
      </c>
      <c r="VZ49">
        <f t="shared" si="77"/>
        <v>9701.6683153575977</v>
      </c>
      <c r="WA49">
        <f t="shared" si="77"/>
        <v>9718.6144744202938</v>
      </c>
      <c r="WB49">
        <f t="shared" si="78"/>
        <v>9735.5631052150657</v>
      </c>
      <c r="WC49">
        <f t="shared" si="78"/>
        <v>9752.5142124139202</v>
      </c>
      <c r="WD49">
        <f t="shared" si="78"/>
        <v>9769.4678006914382</v>
      </c>
      <c r="WE49">
        <f t="shared" si="78"/>
        <v>9786.4238747247764</v>
      </c>
      <c r="WF49">
        <f t="shared" si="78"/>
        <v>9803.3824391936705</v>
      </c>
      <c r="WG49">
        <f t="shared" si="78"/>
        <v>9820.3434987804485</v>
      </c>
      <c r="WH49">
        <f t="shared" si="78"/>
        <v>9837.307058170034</v>
      </c>
      <c r="WI49">
        <f t="shared" si="78"/>
        <v>9854.2731220499481</v>
      </c>
      <c r="WJ49">
        <f t="shared" si="78"/>
        <v>9871.2416951103169</v>
      </c>
      <c r="WK49">
        <f t="shared" si="78"/>
        <v>9888.21278204388</v>
      </c>
      <c r="WL49">
        <f t="shared" si="79"/>
        <v>9905.1863875459858</v>
      </c>
      <c r="WM49">
        <f t="shared" si="79"/>
        <v>9922.1625163146127</v>
      </c>
      <c r="WN49">
        <f t="shared" si="79"/>
        <v>9939.1411730503642</v>
      </c>
    </row>
    <row r="50" spans="2:612" x14ac:dyDescent="0.25">
      <c r="B50">
        <v>3</v>
      </c>
      <c r="C50">
        <f>C51+0.8</f>
        <v>1.6625000000000001</v>
      </c>
      <c r="D50">
        <v>1.06</v>
      </c>
      <c r="J50">
        <f>(($C51+0.4)*TAN(RADIANS(J$47))*$D50*0.8*1000*9.8*$C50)+((0.8*TAN(RADIANS(J$47)))*0.8/2*$D50*1000*9.8)*($C50+0.8/6)</f>
        <v>8.1724654008406112</v>
      </c>
      <c r="K50">
        <f t="shared" si="35"/>
        <v>16.344932793261886</v>
      </c>
      <c r="L50">
        <f t="shared" si="35"/>
        <v>24.517404168846419</v>
      </c>
      <c r="M50">
        <f t="shared" si="35"/>
        <v>32.689881519180723</v>
      </c>
      <c r="N50">
        <f t="shared" si="35"/>
        <v>40.862366835857095</v>
      </c>
      <c r="O50">
        <f t="shared" si="35"/>
        <v>49.034862110475586</v>
      </c>
      <c r="P50">
        <f t="shared" si="35"/>
        <v>57.207369334646046</v>
      </c>
      <c r="Q50">
        <f t="shared" si="35"/>
        <v>65.379890499989827</v>
      </c>
      <c r="R50">
        <f t="shared" si="35"/>
        <v>73.552427598142003</v>
      </c>
      <c r="S50">
        <f t="shared" si="35"/>
        <v>81.72498262075311</v>
      </c>
      <c r="T50">
        <f t="shared" si="35"/>
        <v>89.897557559491176</v>
      </c>
      <c r="U50">
        <f t="shared" si="35"/>
        <v>98.070154406043642</v>
      </c>
      <c r="V50">
        <f t="shared" si="35"/>
        <v>106.24277515211932</v>
      </c>
      <c r="W50">
        <f t="shared" si="35"/>
        <v>114.41542178945029</v>
      </c>
      <c r="X50">
        <f t="shared" si="35"/>
        <v>122.58809630979383</v>
      </c>
      <c r="Y50">
        <f t="shared" si="35"/>
        <v>130.76080070493452</v>
      </c>
      <c r="Z50">
        <f t="shared" si="35"/>
        <v>138.93353696668601</v>
      </c>
      <c r="AA50">
        <f t="shared" si="35"/>
        <v>147.10630708689291</v>
      </c>
      <c r="AB50">
        <f t="shared" si="35"/>
        <v>155.27911305743305</v>
      </c>
      <c r="AC50">
        <f t="shared" si="35"/>
        <v>163.45195687021891</v>
      </c>
      <c r="AD50">
        <f t="shared" si="35"/>
        <v>171.6248405172002</v>
      </c>
      <c r="AE50">
        <f t="shared" si="35"/>
        <v>179.79776599036521</v>
      </c>
      <c r="AF50">
        <f t="shared" si="35"/>
        <v>187.97073528174312</v>
      </c>
      <c r="AG50">
        <f t="shared" si="35"/>
        <v>196.14375038340575</v>
      </c>
      <c r="AH50">
        <f t="shared" si="35"/>
        <v>204.3168132874697</v>
      </c>
      <c r="AI50">
        <f t="shared" si="35"/>
        <v>212.48992598609806</v>
      </c>
      <c r="AJ50">
        <f t="shared" si="35"/>
        <v>220.66309047150247</v>
      </c>
      <c r="AK50">
        <f t="shared" si="35"/>
        <v>228.83630873594512</v>
      </c>
      <c r="AL50">
        <f t="shared" si="35"/>
        <v>237.00958277174061</v>
      </c>
      <c r="AM50">
        <f t="shared" si="35"/>
        <v>245.18291457125781</v>
      </c>
      <c r="AN50">
        <f t="shared" si="35"/>
        <v>253.35630612692222</v>
      </c>
      <c r="AO50">
        <f t="shared" si="35"/>
        <v>261.52975943121714</v>
      </c>
      <c r="AP50">
        <f t="shared" si="35"/>
        <v>269.70327647668637</v>
      </c>
      <c r="AQ50">
        <f t="shared" si="35"/>
        <v>277.87685925593587</v>
      </c>
      <c r="AR50">
        <f t="shared" si="35"/>
        <v>286.05050976163545</v>
      </c>
      <c r="AS50">
        <f t="shared" si="35"/>
        <v>294.22422998652121</v>
      </c>
      <c r="AT50">
        <f t="shared" si="35"/>
        <v>302.39802192339727</v>
      </c>
      <c r="AU50">
        <f t="shared" si="35"/>
        <v>310.57188756513727</v>
      </c>
      <c r="AV50">
        <f t="shared" si="35"/>
        <v>318.74582890468713</v>
      </c>
      <c r="AW50">
        <f t="shared" si="35"/>
        <v>326.91984793506634</v>
      </c>
      <c r="AX50">
        <f t="shared" si="35"/>
        <v>335.09394664937025</v>
      </c>
      <c r="AY50">
        <f t="shared" si="35"/>
        <v>343.26812704077184</v>
      </c>
      <c r="AZ50">
        <f t="shared" si="35"/>
        <v>351.44239110252386</v>
      </c>
      <c r="BA50">
        <f t="shared" si="35"/>
        <v>359.61674082796048</v>
      </c>
      <c r="BB50">
        <f t="shared" si="35"/>
        <v>367.79117821049954</v>
      </c>
      <c r="BC50">
        <f t="shared" si="35"/>
        <v>375.96570524364415</v>
      </c>
      <c r="BD50">
        <f t="shared" si="35"/>
        <v>384.14032392098511</v>
      </c>
      <c r="BE50">
        <f t="shared" si="35"/>
        <v>392.3150362362025</v>
      </c>
      <c r="BF50">
        <f t="shared" si="35"/>
        <v>400.48984418306753</v>
      </c>
      <c r="BG50">
        <f t="shared" si="35"/>
        <v>408.66474975544486</v>
      </c>
      <c r="BH50">
        <f t="shared" si="35"/>
        <v>416.83975494729441</v>
      </c>
      <c r="BI50">
        <f t="shared" si="35"/>
        <v>425.01486175267308</v>
      </c>
      <c r="BJ50">
        <f t="shared" si="35"/>
        <v>433.19007216573675</v>
      </c>
      <c r="BK50">
        <f t="shared" si="35"/>
        <v>441.36538818074303</v>
      </c>
      <c r="BL50">
        <f t="shared" si="35"/>
        <v>449.54081179205144</v>
      </c>
      <c r="BM50">
        <f t="shared" si="35"/>
        <v>457.71634499412733</v>
      </c>
      <c r="BN50">
        <f t="shared" si="35"/>
        <v>465.89198978154241</v>
      </c>
      <c r="BO50">
        <f t="shared" si="35"/>
        <v>474.0677481489779</v>
      </c>
      <c r="BP50">
        <f t="shared" si="35"/>
        <v>482.24362209122478</v>
      </c>
      <c r="BQ50">
        <f t="shared" si="35"/>
        <v>490.41961360318771</v>
      </c>
      <c r="BR50">
        <f t="shared" si="35"/>
        <v>498.59572467988562</v>
      </c>
      <c r="BS50">
        <f t="shared" si="35"/>
        <v>506.77195731645372</v>
      </c>
      <c r="BT50">
        <f t="shared" si="35"/>
        <v>514.94831350814638</v>
      </c>
      <c r="BU50">
        <f t="shared" si="35"/>
        <v>523.12479525033848</v>
      </c>
      <c r="BV50">
        <f t="shared" si="35"/>
        <v>531.30140453852687</v>
      </c>
      <c r="BW50">
        <f t="shared" si="36"/>
        <v>539.47814336833312</v>
      </c>
      <c r="BX50">
        <f t="shared" si="36"/>
        <v>547.65501373550535</v>
      </c>
      <c r="BY50">
        <f t="shared" si="36"/>
        <v>555.83201763591967</v>
      </c>
      <c r="BZ50">
        <f t="shared" si="36"/>
        <v>564.00915706558249</v>
      </c>
      <c r="CA50">
        <f t="shared" si="36"/>
        <v>572.18643402063276</v>
      </c>
      <c r="CB50">
        <f t="shared" si="36"/>
        <v>580.36385049734349</v>
      </c>
      <c r="CC50">
        <f t="shared" si="36"/>
        <v>588.54140849212342</v>
      </c>
      <c r="CD50">
        <f t="shared" si="36"/>
        <v>596.71911000151999</v>
      </c>
      <c r="CE50">
        <f t="shared" si="36"/>
        <v>604.89695702222025</v>
      </c>
      <c r="CF50">
        <f t="shared" si="36"/>
        <v>613.07495155105323</v>
      </c>
      <c r="CG50">
        <f t="shared" si="36"/>
        <v>621.25309558499202</v>
      </c>
      <c r="CH50">
        <f t="shared" si="36"/>
        <v>629.43139112115534</v>
      </c>
      <c r="CI50">
        <f t="shared" si="36"/>
        <v>637.60984015681061</v>
      </c>
      <c r="CJ50">
        <f t="shared" si="36"/>
        <v>645.78844468937382</v>
      </c>
      <c r="CK50">
        <f t="shared" si="36"/>
        <v>653.96720671641333</v>
      </c>
      <c r="CL50">
        <f t="shared" si="36"/>
        <v>662.14612823565153</v>
      </c>
      <c r="CM50">
        <f t="shared" si="36"/>
        <v>670.32521124496554</v>
      </c>
      <c r="CN50">
        <f t="shared" si="36"/>
        <v>678.5044577423912</v>
      </c>
      <c r="CO50">
        <f t="shared" si="36"/>
        <v>686.68386972612291</v>
      </c>
      <c r="CP50">
        <f t="shared" si="36"/>
        <v>694.86344919451722</v>
      </c>
      <c r="CQ50">
        <f t="shared" si="36"/>
        <v>703.0431981460938</v>
      </c>
      <c r="CR50">
        <f t="shared" si="36"/>
        <v>711.22311857953798</v>
      </c>
      <c r="CS50">
        <f t="shared" si="36"/>
        <v>719.40321249370254</v>
      </c>
      <c r="CT50">
        <f t="shared" si="36"/>
        <v>727.58348188760908</v>
      </c>
      <c r="CU50">
        <f t="shared" si="36"/>
        <v>735.76392876045122</v>
      </c>
      <c r="CV50">
        <f t="shared" si="36"/>
        <v>743.94455511159515</v>
      </c>
      <c r="CW50">
        <f t="shared" si="36"/>
        <v>752.1253629405827</v>
      </c>
      <c r="CX50">
        <f t="shared" si="36"/>
        <v>760.30635424713296</v>
      </c>
      <c r="CY50">
        <f t="shared" si="36"/>
        <v>768.48753103114382</v>
      </c>
      <c r="CZ50">
        <f t="shared" si="36"/>
        <v>776.66889529269417</v>
      </c>
      <c r="DA50">
        <f t="shared" si="36"/>
        <v>784.8504490320463</v>
      </c>
      <c r="DB50">
        <f t="shared" si="36"/>
        <v>793.03219424964743</v>
      </c>
      <c r="DC50">
        <f t="shared" si="36"/>
        <v>801.21413294613194</v>
      </c>
      <c r="DD50">
        <f t="shared" si="36"/>
        <v>809.39626712232234</v>
      </c>
      <c r="DE50">
        <f t="shared" si="36"/>
        <v>817.57859877923272</v>
      </c>
      <c r="DF50">
        <f t="shared" si="36"/>
        <v>825.76112991806997</v>
      </c>
      <c r="DG50">
        <f t="shared" si="36"/>
        <v>833.94386254023527</v>
      </c>
      <c r="DH50">
        <f t="shared" si="36"/>
        <v>842.12679864732763</v>
      </c>
      <c r="DI50">
        <f t="shared" si="36"/>
        <v>850.30994024114352</v>
      </c>
      <c r="DJ50">
        <f t="shared" si="36"/>
        <v>858.49328932368076</v>
      </c>
      <c r="DK50">
        <f t="shared" si="36"/>
        <v>866.67684789714031</v>
      </c>
      <c r="DL50">
        <f t="shared" si="36"/>
        <v>874.86061796392642</v>
      </c>
      <c r="DM50">
        <f t="shared" si="36"/>
        <v>883.04460152665138</v>
      </c>
      <c r="DN50">
        <f t="shared" si="36"/>
        <v>891.22880058813485</v>
      </c>
      <c r="DO50">
        <f t="shared" si="36"/>
        <v>899.41321715140759</v>
      </c>
      <c r="DP50">
        <f t="shared" si="36"/>
        <v>907.5978532197131</v>
      </c>
      <c r="DQ50">
        <f t="shared" si="36"/>
        <v>915.78271079650881</v>
      </c>
      <c r="DR50">
        <f t="shared" si="36"/>
        <v>923.96779188546816</v>
      </c>
      <c r="DS50">
        <f t="shared" si="36"/>
        <v>932.15309849048413</v>
      </c>
      <c r="DT50">
        <f t="shared" si="36"/>
        <v>940.33863261566989</v>
      </c>
      <c r="DU50">
        <f t="shared" si="36"/>
        <v>948.52439626535909</v>
      </c>
      <c r="DV50">
        <f t="shared" si="36"/>
        <v>956.71039144411225</v>
      </c>
      <c r="DW50">
        <f t="shared" si="36"/>
        <v>964.89662015671433</v>
      </c>
      <c r="DX50">
        <f t="shared" si="36"/>
        <v>973.08308440817927</v>
      </c>
      <c r="DY50">
        <f t="shared" si="36"/>
        <v>981.26978620375098</v>
      </c>
      <c r="DZ50">
        <f t="shared" si="36"/>
        <v>989.45672754890552</v>
      </c>
      <c r="EA50">
        <f t="shared" si="36"/>
        <v>997.64391044935303</v>
      </c>
      <c r="EB50">
        <f t="shared" si="36"/>
        <v>1005.83133691104</v>
      </c>
      <c r="EC50">
        <f t="shared" si="36"/>
        <v>1014.0190089401505</v>
      </c>
      <c r="ED50">
        <f t="shared" si="36"/>
        <v>1022.2069285431094</v>
      </c>
      <c r="EE50">
        <f t="shared" si="36"/>
        <v>1030.3950977265827</v>
      </c>
      <c r="EF50">
        <f t="shared" si="36"/>
        <v>1038.583518497481</v>
      </c>
      <c r="EG50">
        <f t="shared" si="36"/>
        <v>1046.7721928629608</v>
      </c>
      <c r="EH50">
        <f t="shared" si="36"/>
        <v>1054.9611228304257</v>
      </c>
      <c r="EI50">
        <f t="shared" si="37"/>
        <v>1063.1503104075305</v>
      </c>
      <c r="EJ50">
        <f t="shared" si="37"/>
        <v>1071.3397576021812</v>
      </c>
      <c r="EK50">
        <f t="shared" si="37"/>
        <v>1079.5294664225376</v>
      </c>
      <c r="EL50">
        <f t="shared" si="37"/>
        <v>1087.7194388770154</v>
      </c>
      <c r="EM50">
        <f t="shared" si="37"/>
        <v>1095.9096769742882</v>
      </c>
      <c r="EN50">
        <f t="shared" si="37"/>
        <v>1104.1001827232894</v>
      </c>
      <c r="EO50">
        <f t="shared" si="37"/>
        <v>1112.2909581332137</v>
      </c>
      <c r="EP50">
        <f t="shared" si="37"/>
        <v>1120.4820052135203</v>
      </c>
      <c r="EQ50">
        <f t="shared" si="37"/>
        <v>1128.6733259739333</v>
      </c>
      <c r="ER50">
        <f t="shared" si="37"/>
        <v>1136.8649224244459</v>
      </c>
      <c r="ES50">
        <f t="shared" si="37"/>
        <v>1145.0567965753189</v>
      </c>
      <c r="ET50">
        <f t="shared" si="37"/>
        <v>1153.2489504370863</v>
      </c>
      <c r="EU50">
        <f t="shared" si="37"/>
        <v>1161.441386020555</v>
      </c>
      <c r="EV50">
        <f t="shared" si="37"/>
        <v>1169.6341053368085</v>
      </c>
      <c r="EW50">
        <f t="shared" si="37"/>
        <v>1177.8271103972068</v>
      </c>
      <c r="EX50">
        <f t="shared" si="37"/>
        <v>1186.0204032133893</v>
      </c>
      <c r="EY50">
        <f t="shared" si="37"/>
        <v>1194.2139857972784</v>
      </c>
      <c r="EZ50">
        <f t="shared" si="37"/>
        <v>1202.4078601610786</v>
      </c>
      <c r="FA50">
        <f t="shared" si="37"/>
        <v>1210.6020283172809</v>
      </c>
      <c r="FB50">
        <f t="shared" si="37"/>
        <v>1218.796492278663</v>
      </c>
      <c r="FC50">
        <f t="shared" si="37"/>
        <v>1226.9912540582932</v>
      </c>
      <c r="FD50">
        <f t="shared" si="37"/>
        <v>1235.1863156695297</v>
      </c>
      <c r="FE50">
        <f t="shared" si="37"/>
        <v>1243.381679126026</v>
      </c>
      <c r="FF50">
        <f t="shared" si="37"/>
        <v>1251.5773464417291</v>
      </c>
      <c r="FG50">
        <f t="shared" si="37"/>
        <v>1259.7733196308855</v>
      </c>
      <c r="FH50">
        <f t="shared" si="37"/>
        <v>1267.9696007080395</v>
      </c>
      <c r="FI50">
        <f t="shared" si="37"/>
        <v>1276.166191688038</v>
      </c>
      <c r="FJ50">
        <f t="shared" si="37"/>
        <v>1284.3630945860302</v>
      </c>
      <c r="FK50">
        <f t="shared" si="37"/>
        <v>1292.5603114174717</v>
      </c>
      <c r="FL50">
        <f t="shared" si="37"/>
        <v>1300.7578441981245</v>
      </c>
      <c r="FM50">
        <f t="shared" si="37"/>
        <v>1308.9556949440614</v>
      </c>
      <c r="FN50">
        <f t="shared" si="37"/>
        <v>1317.153865671665</v>
      </c>
      <c r="FO50">
        <f t="shared" si="37"/>
        <v>1325.3523583976323</v>
      </c>
      <c r="FP50">
        <f t="shared" si="37"/>
        <v>1333.5511751389752</v>
      </c>
      <c r="FQ50">
        <f t="shared" si="37"/>
        <v>1341.7503179130235</v>
      </c>
      <c r="FR50">
        <f t="shared" si="37"/>
        <v>1349.9497887374257</v>
      </c>
      <c r="FS50">
        <f t="shared" si="37"/>
        <v>1358.1495896301521</v>
      </c>
      <c r="FT50">
        <f t="shared" si="37"/>
        <v>1366.349722609496</v>
      </c>
      <c r="FU50">
        <f t="shared" si="37"/>
        <v>1374.5501896940766</v>
      </c>
      <c r="FV50">
        <f t="shared" si="37"/>
        <v>1382.7509929028397</v>
      </c>
      <c r="FW50">
        <f t="shared" si="37"/>
        <v>1390.9521342550606</v>
      </c>
      <c r="FX50">
        <f t="shared" si="37"/>
        <v>1399.1536157703472</v>
      </c>
      <c r="FY50">
        <f t="shared" si="37"/>
        <v>1407.355439468638</v>
      </c>
      <c r="FZ50">
        <f t="shared" si="37"/>
        <v>1415.5576073702102</v>
      </c>
      <c r="GA50">
        <f t="shared" si="37"/>
        <v>1423.760121495676</v>
      </c>
      <c r="GB50">
        <f t="shared" si="37"/>
        <v>1431.9629838659876</v>
      </c>
      <c r="GC50">
        <f t="shared" si="37"/>
        <v>1440.166196502438</v>
      </c>
      <c r="GD50">
        <f t="shared" si="37"/>
        <v>1448.3697614266653</v>
      </c>
      <c r="GE50">
        <f t="shared" si="37"/>
        <v>1456.5736806606508</v>
      </c>
      <c r="GF50">
        <f t="shared" si="37"/>
        <v>1464.7779562267242</v>
      </c>
      <c r="GG50">
        <f t="shared" si="37"/>
        <v>1472.9825901475649</v>
      </c>
      <c r="GH50">
        <f t="shared" si="37"/>
        <v>1481.1875844462033</v>
      </c>
      <c r="GI50">
        <f t="shared" si="37"/>
        <v>1489.3929411460222</v>
      </c>
      <c r="GJ50">
        <f t="shared" si="37"/>
        <v>1497.5986622707621</v>
      </c>
      <c r="GK50">
        <f t="shared" si="37"/>
        <v>1505.8047498445185</v>
      </c>
      <c r="GL50">
        <f t="shared" si="37"/>
        <v>1514.0112058917471</v>
      </c>
      <c r="GM50">
        <f t="shared" si="37"/>
        <v>1522.2180324372653</v>
      </c>
      <c r="GN50">
        <f t="shared" si="37"/>
        <v>1530.4252315062547</v>
      </c>
      <c r="GO50">
        <f t="shared" si="37"/>
        <v>1538.6328051242608</v>
      </c>
      <c r="GP50">
        <f t="shared" si="37"/>
        <v>1546.8407553171969</v>
      </c>
      <c r="GQ50">
        <f t="shared" si="37"/>
        <v>1555.0490841113465</v>
      </c>
      <c r="GR50">
        <f t="shared" si="37"/>
        <v>1563.2577935333636</v>
      </c>
      <c r="GS50">
        <f t="shared" si="37"/>
        <v>1571.4668856102767</v>
      </c>
      <c r="GT50">
        <f t="shared" si="37"/>
        <v>1579.6763623694892</v>
      </c>
      <c r="GU50">
        <f t="shared" si="38"/>
        <v>1587.8862258387812</v>
      </c>
      <c r="GV50">
        <f t="shared" si="38"/>
        <v>1596.0964780463141</v>
      </c>
      <c r="GW50">
        <f t="shared" si="38"/>
        <v>1604.3071210206308</v>
      </c>
      <c r="GX50">
        <f t="shared" si="38"/>
        <v>1612.5181567906554</v>
      </c>
      <c r="GY50">
        <f t="shared" si="38"/>
        <v>1620.7295873856997</v>
      </c>
      <c r="GZ50">
        <f t="shared" si="38"/>
        <v>1628.9414148354617</v>
      </c>
      <c r="HA50">
        <f t="shared" si="38"/>
        <v>1637.1536411700317</v>
      </c>
      <c r="HB50">
        <f t="shared" si="39"/>
        <v>1645.3662684198885</v>
      </c>
      <c r="HC50">
        <f t="shared" si="39"/>
        <v>1653.5792986159063</v>
      </c>
      <c r="HD50">
        <f t="shared" si="39"/>
        <v>1661.7927337893532</v>
      </c>
      <c r="HE50">
        <f t="shared" si="39"/>
        <v>1670.0065759718984</v>
      </c>
      <c r="HF50">
        <f t="shared" si="39"/>
        <v>1678.2208271956081</v>
      </c>
      <c r="HG50">
        <f t="shared" si="39"/>
        <v>1686.4354894929506</v>
      </c>
      <c r="HH50">
        <f t="shared" si="39"/>
        <v>1694.6505648967984</v>
      </c>
      <c r="HI50">
        <f t="shared" si="39"/>
        <v>1702.8660554404303</v>
      </c>
      <c r="HJ50">
        <f t="shared" si="39"/>
        <v>1711.0819631575312</v>
      </c>
      <c r="HK50">
        <f t="shared" si="39"/>
        <v>1719.2982900821992</v>
      </c>
      <c r="HL50">
        <f t="shared" si="40"/>
        <v>1727.5150382489403</v>
      </c>
      <c r="HM50">
        <f t="shared" si="40"/>
        <v>1735.7322096926775</v>
      </c>
      <c r="HN50">
        <f t="shared" si="40"/>
        <v>1743.9498064487479</v>
      </c>
      <c r="HO50">
        <f t="shared" si="40"/>
        <v>1752.1678305529078</v>
      </c>
      <c r="HP50">
        <f t="shared" si="40"/>
        <v>1760.3862840413326</v>
      </c>
      <c r="HQ50">
        <f t="shared" si="40"/>
        <v>1768.6051689506207</v>
      </c>
      <c r="HR50">
        <f t="shared" si="40"/>
        <v>1776.8244873177946</v>
      </c>
      <c r="HS50">
        <f t="shared" si="40"/>
        <v>1785.0442411803022</v>
      </c>
      <c r="HT50">
        <f t="shared" si="40"/>
        <v>1793.2644325760186</v>
      </c>
      <c r="HU50">
        <f t="shared" si="40"/>
        <v>1801.4850635432515</v>
      </c>
      <c r="HV50">
        <f t="shared" si="41"/>
        <v>1809.7061361207398</v>
      </c>
      <c r="HW50">
        <f t="shared" si="41"/>
        <v>1817.9276523476565</v>
      </c>
      <c r="HX50">
        <f t="shared" si="41"/>
        <v>1826.1496142636111</v>
      </c>
      <c r="HY50">
        <f t="shared" si="41"/>
        <v>1834.3720239086506</v>
      </c>
      <c r="HZ50">
        <f t="shared" si="41"/>
        <v>1842.5948833232644</v>
      </c>
      <c r="IA50">
        <f t="shared" si="41"/>
        <v>1850.8181945483827</v>
      </c>
      <c r="IB50">
        <f t="shared" si="41"/>
        <v>1859.0419596253814</v>
      </c>
      <c r="IC50">
        <f t="shared" si="41"/>
        <v>1867.2661805960811</v>
      </c>
      <c r="ID50">
        <f t="shared" si="41"/>
        <v>1875.4908595027528</v>
      </c>
      <c r="IE50">
        <f t="shared" si="41"/>
        <v>1883.7159983881174</v>
      </c>
      <c r="IF50">
        <f t="shared" si="42"/>
        <v>1891.9415992953493</v>
      </c>
      <c r="IG50">
        <f t="shared" si="42"/>
        <v>1900.1676642680761</v>
      </c>
      <c r="IH50">
        <f t="shared" si="42"/>
        <v>1908.3941953503834</v>
      </c>
      <c r="II50">
        <f t="shared" si="42"/>
        <v>1916.6211945868147</v>
      </c>
      <c r="IJ50">
        <f t="shared" si="42"/>
        <v>1924.8486640223755</v>
      </c>
      <c r="IK50">
        <f t="shared" si="42"/>
        <v>1933.0766057025337</v>
      </c>
      <c r="IL50">
        <f t="shared" si="42"/>
        <v>1941.3050216732222</v>
      </c>
      <c r="IM50">
        <f t="shared" si="42"/>
        <v>1949.5339139808411</v>
      </c>
      <c r="IN50">
        <f t="shared" si="42"/>
        <v>1957.7632846722595</v>
      </c>
      <c r="IO50">
        <f t="shared" si="42"/>
        <v>1965.9931357948171</v>
      </c>
      <c r="IP50">
        <f t="shared" si="43"/>
        <v>1974.2234693963285</v>
      </c>
      <c r="IQ50">
        <f t="shared" si="43"/>
        <v>1982.4542875250813</v>
      </c>
      <c r="IR50">
        <f t="shared" si="43"/>
        <v>1990.6855922298421</v>
      </c>
      <c r="IS50">
        <f t="shared" si="43"/>
        <v>1998.917385559856</v>
      </c>
      <c r="IT50">
        <f t="shared" si="43"/>
        <v>2007.1496695648511</v>
      </c>
      <c r="IU50">
        <f t="shared" si="43"/>
        <v>2015.3824462950365</v>
      </c>
      <c r="IV50">
        <f t="shared" si="43"/>
        <v>2023.6157178011094</v>
      </c>
      <c r="IW50">
        <f t="shared" si="43"/>
        <v>2031.8494861342526</v>
      </c>
      <c r="IX50">
        <f t="shared" si="43"/>
        <v>2040.0837533461406</v>
      </c>
      <c r="IY50">
        <f t="shared" si="43"/>
        <v>2048.3185214889372</v>
      </c>
      <c r="IZ50">
        <f t="shared" si="44"/>
        <v>2056.5537926153033</v>
      </c>
      <c r="JA50">
        <f t="shared" si="44"/>
        <v>2064.789568778393</v>
      </c>
      <c r="JB50">
        <f t="shared" si="44"/>
        <v>2073.0258520318594</v>
      </c>
      <c r="JC50">
        <f t="shared" si="44"/>
        <v>2081.2626444298562</v>
      </c>
      <c r="JD50">
        <f t="shared" si="44"/>
        <v>2089.4999480270371</v>
      </c>
      <c r="JE50">
        <f t="shared" si="44"/>
        <v>2097.7377648785628</v>
      </c>
      <c r="JF50">
        <f t="shared" si="44"/>
        <v>2105.9760970400985</v>
      </c>
      <c r="JG50">
        <f t="shared" si="44"/>
        <v>2114.2149465678194</v>
      </c>
      <c r="JH50">
        <f t="shared" si="44"/>
        <v>2122.4543155184087</v>
      </c>
      <c r="JI50">
        <f t="shared" si="44"/>
        <v>2130.6942059490648</v>
      </c>
      <c r="JJ50">
        <f t="shared" si="45"/>
        <v>2138.9346199174975</v>
      </c>
      <c r="JK50">
        <f t="shared" si="45"/>
        <v>2147.175559481936</v>
      </c>
      <c r="JL50">
        <f t="shared" si="45"/>
        <v>2155.4170267011277</v>
      </c>
      <c r="JM50">
        <f t="shared" si="45"/>
        <v>2163.6590236343413</v>
      </c>
      <c r="JN50">
        <f t="shared" si="45"/>
        <v>2171.9015523413664</v>
      </c>
      <c r="JO50">
        <f t="shared" si="45"/>
        <v>2180.144614882518</v>
      </c>
      <c r="JP50">
        <f t="shared" si="45"/>
        <v>2188.3882133186407</v>
      </c>
      <c r="JQ50">
        <f t="shared" si="45"/>
        <v>2196.6323497111061</v>
      </c>
      <c r="JR50">
        <f t="shared" si="45"/>
        <v>2204.8770261218174</v>
      </c>
      <c r="JS50">
        <f t="shared" si="45"/>
        <v>2213.1222446132115</v>
      </c>
      <c r="JT50">
        <f t="shared" si="46"/>
        <v>2221.3680072482598</v>
      </c>
      <c r="JU50">
        <f t="shared" si="46"/>
        <v>2229.6143160904726</v>
      </c>
      <c r="JV50">
        <f t="shared" si="46"/>
        <v>2237.8611732038994</v>
      </c>
      <c r="JW50">
        <f t="shared" si="46"/>
        <v>2246.10858065313</v>
      </c>
      <c r="JX50">
        <f t="shared" si="46"/>
        <v>2254.3565405033005</v>
      </c>
      <c r="JY50">
        <f t="shared" si="46"/>
        <v>2262.6050548200915</v>
      </c>
      <c r="JZ50">
        <f t="shared" si="46"/>
        <v>2270.8541256697313</v>
      </c>
      <c r="KA50">
        <f t="shared" si="46"/>
        <v>2279.1037551189979</v>
      </c>
      <c r="KB50">
        <f t="shared" si="46"/>
        <v>2287.3539452352234</v>
      </c>
      <c r="KC50">
        <f t="shared" si="46"/>
        <v>2295.604698086293</v>
      </c>
      <c r="KD50">
        <f t="shared" si="47"/>
        <v>2303.8560157406478</v>
      </c>
      <c r="KE50">
        <f t="shared" si="47"/>
        <v>2312.1079002672886</v>
      </c>
      <c r="KF50">
        <f t="shared" si="47"/>
        <v>2320.3603537357758</v>
      </c>
      <c r="KG50">
        <f t="shared" si="47"/>
        <v>2328.6133782162324</v>
      </c>
      <c r="KH50">
        <f t="shared" si="47"/>
        <v>2336.8669757793477</v>
      </c>
      <c r="KI50">
        <f t="shared" si="47"/>
        <v>2345.1211484963765</v>
      </c>
      <c r="KJ50">
        <f t="shared" si="47"/>
        <v>2353.375898439142</v>
      </c>
      <c r="KK50">
        <f t="shared" si="47"/>
        <v>2361.6312276800413</v>
      </c>
      <c r="KL50">
        <f t="shared" si="47"/>
        <v>2369.8871382920415</v>
      </c>
      <c r="KM50">
        <f t="shared" si="47"/>
        <v>2378.1436323486878</v>
      </c>
      <c r="KN50">
        <f t="shared" si="48"/>
        <v>2386.4007119241005</v>
      </c>
      <c r="KO50">
        <f t="shared" si="48"/>
        <v>2394.6583790929812</v>
      </c>
      <c r="KP50">
        <f t="shared" si="48"/>
        <v>2402.9166359306123</v>
      </c>
      <c r="KQ50">
        <f t="shared" si="48"/>
        <v>2411.1754845128607</v>
      </c>
      <c r="KR50">
        <f t="shared" si="48"/>
        <v>2419.4349269161785</v>
      </c>
      <c r="KS50">
        <f t="shared" si="48"/>
        <v>2427.6949652176063</v>
      </c>
      <c r="KT50">
        <f t="shared" si="48"/>
        <v>2435.9556014947752</v>
      </c>
      <c r="KU50">
        <f t="shared" si="48"/>
        <v>2444.2168378259071</v>
      </c>
      <c r="KV50">
        <f t="shared" si="48"/>
        <v>2452.4786762898202</v>
      </c>
      <c r="KW50">
        <f t="shared" si="48"/>
        <v>2460.7411189659292</v>
      </c>
      <c r="KX50">
        <f t="shared" si="49"/>
        <v>2469.0041679342448</v>
      </c>
      <c r="KY50">
        <f t="shared" si="49"/>
        <v>2477.2678252753813</v>
      </c>
      <c r="KZ50">
        <f t="shared" si="49"/>
        <v>2485.5320930705552</v>
      </c>
      <c r="LA50">
        <f t="shared" si="49"/>
        <v>2493.7969734015874</v>
      </c>
      <c r="LB50">
        <f t="shared" si="49"/>
        <v>2502.0624683509077</v>
      </c>
      <c r="LC50">
        <f t="shared" si="49"/>
        <v>2510.3285800015519</v>
      </c>
      <c r="LD50">
        <f t="shared" si="49"/>
        <v>2518.5953104371706</v>
      </c>
      <c r="LE50">
        <f t="shared" si="49"/>
        <v>2526.8626617420268</v>
      </c>
      <c r="LF50">
        <f t="shared" si="49"/>
        <v>2535.1306360009976</v>
      </c>
      <c r="LG50">
        <f t="shared" si="49"/>
        <v>2543.399235299582</v>
      </c>
      <c r="LH50">
        <f t="shared" si="50"/>
        <v>2551.6684617238934</v>
      </c>
      <c r="LI50">
        <f t="shared" si="50"/>
        <v>2559.9383173606739</v>
      </c>
      <c r="LJ50">
        <f t="shared" si="50"/>
        <v>2568.2088042972823</v>
      </c>
      <c r="LK50">
        <f t="shared" si="50"/>
        <v>2576.4799246217108</v>
      </c>
      <c r="LL50">
        <f t="shared" si="50"/>
        <v>2584.7516804225747</v>
      </c>
      <c r="LM50">
        <f t="shared" si="50"/>
        <v>2593.0240737891254</v>
      </c>
      <c r="LN50">
        <f t="shared" si="50"/>
        <v>2601.2971068112424</v>
      </c>
      <c r="LO50">
        <f t="shared" si="50"/>
        <v>2609.5707815794431</v>
      </c>
      <c r="LP50">
        <f t="shared" si="50"/>
        <v>2617.8451001848789</v>
      </c>
      <c r="LQ50">
        <f t="shared" si="50"/>
        <v>2626.1200647193446</v>
      </c>
      <c r="LR50">
        <f t="shared" si="51"/>
        <v>2634.3956772752736</v>
      </c>
      <c r="LS50">
        <f t="shared" si="51"/>
        <v>2642.6719399457434</v>
      </c>
      <c r="LT50">
        <f t="shared" si="51"/>
        <v>2650.9488548244781</v>
      </c>
      <c r="LU50">
        <f t="shared" si="51"/>
        <v>2659.2264240058494</v>
      </c>
      <c r="LV50">
        <f t="shared" si="51"/>
        <v>2667.5046495848783</v>
      </c>
      <c r="LW50">
        <f t="shared" si="51"/>
        <v>2675.7835336572384</v>
      </c>
      <c r="LX50">
        <f t="shared" si="51"/>
        <v>2684.0630783192582</v>
      </c>
      <c r="LY50">
        <f t="shared" si="51"/>
        <v>2692.3432856679219</v>
      </c>
      <c r="LZ50">
        <f t="shared" si="51"/>
        <v>2700.6241578008739</v>
      </c>
      <c r="MA50">
        <f t="shared" si="51"/>
        <v>2708.9056968164173</v>
      </c>
      <c r="MB50">
        <f t="shared" si="52"/>
        <v>2717.1879048135197</v>
      </c>
      <c r="MC50">
        <f t="shared" si="52"/>
        <v>2725.4707838918139</v>
      </c>
      <c r="MD50">
        <f t="shared" si="52"/>
        <v>2733.7543361515995</v>
      </c>
      <c r="ME50">
        <f t="shared" si="52"/>
        <v>2742.0385636938463</v>
      </c>
      <c r="MF50">
        <f t="shared" si="52"/>
        <v>2750.3234686201949</v>
      </c>
      <c r="MG50">
        <f t="shared" si="52"/>
        <v>2758.6090530329602</v>
      </c>
      <c r="MH50">
        <f t="shared" si="52"/>
        <v>2766.8953190351335</v>
      </c>
      <c r="MI50">
        <f t="shared" si="52"/>
        <v>2775.1822687303838</v>
      </c>
      <c r="MJ50">
        <f t="shared" si="52"/>
        <v>2783.4699042230623</v>
      </c>
      <c r="MK50">
        <f t="shared" si="52"/>
        <v>2791.7582276181984</v>
      </c>
      <c r="ML50">
        <f t="shared" si="53"/>
        <v>2800.0472410215111</v>
      </c>
      <c r="MM50">
        <f t="shared" si="53"/>
        <v>2808.3369465394044</v>
      </c>
      <c r="MN50">
        <f t="shared" si="53"/>
        <v>2816.6273462789713</v>
      </c>
      <c r="MO50">
        <f t="shared" si="53"/>
        <v>2824.9184423479956</v>
      </c>
      <c r="MP50">
        <f t="shared" si="53"/>
        <v>2833.2102368549554</v>
      </c>
      <c r="MQ50">
        <f t="shared" si="53"/>
        <v>2841.5027319090245</v>
      </c>
      <c r="MR50">
        <f t="shared" si="53"/>
        <v>2849.7959296200752</v>
      </c>
      <c r="MS50">
        <f t="shared" si="53"/>
        <v>2858.0898320986771</v>
      </c>
      <c r="MT50">
        <f t="shared" si="53"/>
        <v>2866.3844414561072</v>
      </c>
      <c r="MU50">
        <f t="shared" si="53"/>
        <v>2874.6797598043399</v>
      </c>
      <c r="MV50">
        <f t="shared" si="54"/>
        <v>2882.9757892560629</v>
      </c>
      <c r="MW50">
        <f t="shared" si="54"/>
        <v>2891.2725319246683</v>
      </c>
      <c r="MX50">
        <f t="shared" si="54"/>
        <v>2899.5699899242636</v>
      </c>
      <c r="MY50">
        <f t="shared" si="54"/>
        <v>2907.868165369664</v>
      </c>
      <c r="MZ50">
        <f t="shared" si="54"/>
        <v>2916.1670603764032</v>
      </c>
      <c r="NA50">
        <f t="shared" si="54"/>
        <v>2924.4666770607337</v>
      </c>
      <c r="NB50">
        <f t="shared" si="54"/>
        <v>2932.7670175396252</v>
      </c>
      <c r="NC50">
        <f t="shared" si="54"/>
        <v>2941.0680839307734</v>
      </c>
      <c r="ND50">
        <f t="shared" si="54"/>
        <v>2949.3698783525915</v>
      </c>
      <c r="NE50">
        <f t="shared" si="54"/>
        <v>2957.6724029242259</v>
      </c>
      <c r="NF50">
        <f t="shared" si="55"/>
        <v>2965.9756597655487</v>
      </c>
      <c r="NG50">
        <f t="shared" si="55"/>
        <v>2974.2796509971631</v>
      </c>
      <c r="NH50">
        <f t="shared" si="55"/>
        <v>2982.5843787404042</v>
      </c>
      <c r="NI50">
        <f t="shared" si="55"/>
        <v>2990.8898451173468</v>
      </c>
      <c r="NJ50">
        <f t="shared" si="55"/>
        <v>2999.196052250797</v>
      </c>
      <c r="NK50">
        <f t="shared" si="55"/>
        <v>3007.5030022643045</v>
      </c>
      <c r="NL50">
        <f t="shared" si="55"/>
        <v>3015.8106972821606</v>
      </c>
      <c r="NM50">
        <f t="shared" si="55"/>
        <v>3024.119139429401</v>
      </c>
      <c r="NN50">
        <f t="shared" si="55"/>
        <v>3032.4283308318081</v>
      </c>
      <c r="NO50">
        <f t="shared" si="55"/>
        <v>3040.7382736159093</v>
      </c>
      <c r="NP50">
        <f t="shared" si="56"/>
        <v>3049.0489699089871</v>
      </c>
      <c r="NQ50">
        <f t="shared" si="56"/>
        <v>3057.3604218390769</v>
      </c>
      <c r="NR50">
        <f t="shared" si="56"/>
        <v>3065.6726315349656</v>
      </c>
      <c r="NS50">
        <f t="shared" si="56"/>
        <v>3073.9856011262027</v>
      </c>
      <c r="NT50">
        <f t="shared" si="56"/>
        <v>3082.2993327430931</v>
      </c>
      <c r="NU50">
        <f t="shared" si="56"/>
        <v>3090.6138285167081</v>
      </c>
      <c r="NV50">
        <f t="shared" si="56"/>
        <v>3098.9290905788766</v>
      </c>
      <c r="NW50">
        <f t="shared" si="56"/>
        <v>3107.2451210622016</v>
      </c>
      <c r="NX50">
        <f t="shared" si="56"/>
        <v>3115.5619221000511</v>
      </c>
      <c r="NY50">
        <f t="shared" si="56"/>
        <v>3123.8794958265626</v>
      </c>
      <c r="NZ50">
        <f t="shared" si="57"/>
        <v>3132.1978443766493</v>
      </c>
      <c r="OA50">
        <f t="shared" si="57"/>
        <v>3140.5169698859991</v>
      </c>
      <c r="OB50">
        <f t="shared" si="57"/>
        <v>3148.8368744910781</v>
      </c>
      <c r="OC50">
        <f t="shared" si="57"/>
        <v>3157.1575603291303</v>
      </c>
      <c r="OD50">
        <f t="shared" si="57"/>
        <v>3165.4790295381858</v>
      </c>
      <c r="OE50">
        <f t="shared" si="57"/>
        <v>3173.8012842570542</v>
      </c>
      <c r="OF50">
        <f t="shared" si="57"/>
        <v>3182.1243266253368</v>
      </c>
      <c r="OG50">
        <f t="shared" si="57"/>
        <v>3190.4481587834193</v>
      </c>
      <c r="OH50">
        <f t="shared" si="57"/>
        <v>3198.772782872481</v>
      </c>
      <c r="OI50">
        <f t="shared" si="57"/>
        <v>3207.0982010344956</v>
      </c>
      <c r="OJ50">
        <f t="shared" si="58"/>
        <v>3215.4244154122298</v>
      </c>
      <c r="OK50">
        <f t="shared" si="58"/>
        <v>3223.7514281492499</v>
      </c>
      <c r="OL50">
        <f t="shared" si="58"/>
        <v>3232.079241389923</v>
      </c>
      <c r="OM50">
        <f t="shared" si="58"/>
        <v>3240.4078572794174</v>
      </c>
      <c r="ON50">
        <f t="shared" si="58"/>
        <v>3248.7372779637071</v>
      </c>
      <c r="OO50">
        <f t="shared" si="58"/>
        <v>3257.0675055895745</v>
      </c>
      <c r="OP50">
        <f t="shared" si="58"/>
        <v>3265.3985423046051</v>
      </c>
      <c r="OQ50">
        <f t="shared" si="58"/>
        <v>3273.730390257203</v>
      </c>
      <c r="OR50">
        <f t="shared" si="58"/>
        <v>3282.0630515965859</v>
      </c>
      <c r="OS50">
        <f t="shared" si="58"/>
        <v>3290.3965284727819</v>
      </c>
      <c r="OT50">
        <f t="shared" si="59"/>
        <v>3298.7308230366425</v>
      </c>
      <c r="OU50">
        <f t="shared" si="59"/>
        <v>3307.0659374398365</v>
      </c>
      <c r="OV50">
        <f t="shared" si="59"/>
        <v>3315.4018738348605</v>
      </c>
      <c r="OW50">
        <f t="shared" si="59"/>
        <v>3323.7386343750313</v>
      </c>
      <c r="OX50">
        <f t="shared" si="59"/>
        <v>3332.0762212144946</v>
      </c>
      <c r="OY50">
        <f t="shared" si="59"/>
        <v>3340.4146365082279</v>
      </c>
      <c r="OZ50">
        <f t="shared" si="59"/>
        <v>3348.7538824120402</v>
      </c>
      <c r="PA50">
        <f t="shared" si="59"/>
        <v>3357.0939610825708</v>
      </c>
      <c r="PB50">
        <f t="shared" si="59"/>
        <v>3365.434874677303</v>
      </c>
      <c r="PC50">
        <f t="shared" si="59"/>
        <v>3373.7766253545524</v>
      </c>
      <c r="PD50">
        <f t="shared" si="60"/>
        <v>3382.1192152734798</v>
      </c>
      <c r="PE50">
        <f t="shared" si="60"/>
        <v>3390.4626465940873</v>
      </c>
      <c r="PF50">
        <f t="shared" si="60"/>
        <v>3398.8069214772236</v>
      </c>
      <c r="PG50">
        <f t="shared" si="60"/>
        <v>3407.1520420845873</v>
      </c>
      <c r="PH50">
        <f t="shared" si="60"/>
        <v>3415.4980105787245</v>
      </c>
      <c r="PI50">
        <f t="shared" si="60"/>
        <v>3423.8448291230361</v>
      </c>
      <c r="PJ50">
        <f t="shared" si="60"/>
        <v>3432.1924998817763</v>
      </c>
      <c r="PK50">
        <f t="shared" si="60"/>
        <v>3440.5410250200598</v>
      </c>
      <c r="PL50">
        <f t="shared" si="60"/>
        <v>3448.8904067038575</v>
      </c>
      <c r="PM50">
        <f t="shared" si="60"/>
        <v>3457.2406471000045</v>
      </c>
      <c r="PN50">
        <f t="shared" si="61"/>
        <v>3465.5917483761987</v>
      </c>
      <c r="PO50">
        <f t="shared" si="61"/>
        <v>3473.943712701006</v>
      </c>
      <c r="PP50">
        <f t="shared" si="61"/>
        <v>3482.2965422438601</v>
      </c>
      <c r="PQ50">
        <f t="shared" si="61"/>
        <v>3490.650239175066</v>
      </c>
      <c r="PR50">
        <f t="shared" si="61"/>
        <v>3499.0048056658052</v>
      </c>
      <c r="PS50">
        <f t="shared" si="61"/>
        <v>3507.3602438881285</v>
      </c>
      <c r="PT50">
        <f t="shared" si="61"/>
        <v>3515.7165560149724</v>
      </c>
      <c r="PU50">
        <f t="shared" si="61"/>
        <v>3524.0737442201489</v>
      </c>
      <c r="PV50">
        <f t="shared" si="61"/>
        <v>3532.4318106783558</v>
      </c>
      <c r="PW50">
        <f t="shared" si="61"/>
        <v>3540.7907575651734</v>
      </c>
      <c r="PX50">
        <f t="shared" si="62"/>
        <v>3549.1505870570722</v>
      </c>
      <c r="PY50">
        <f t="shared" si="62"/>
        <v>3557.5113013314103</v>
      </c>
      <c r="PZ50">
        <f t="shared" si="62"/>
        <v>3565.8729025664397</v>
      </c>
      <c r="QA50">
        <f t="shared" si="62"/>
        <v>3574.2353929413048</v>
      </c>
      <c r="QB50">
        <f t="shared" si="62"/>
        <v>3582.5987746360502</v>
      </c>
      <c r="QC50">
        <f t="shared" si="62"/>
        <v>3590.9630498316174</v>
      </c>
      <c r="QD50">
        <f t="shared" si="62"/>
        <v>3599.3282207098482</v>
      </c>
      <c r="QE50">
        <f t="shared" si="62"/>
        <v>3607.6942894534918</v>
      </c>
      <c r="QF50">
        <f t="shared" si="62"/>
        <v>3616.0612582462009</v>
      </c>
      <c r="QG50">
        <f t="shared" si="62"/>
        <v>3624.4291292725384</v>
      </c>
      <c r="QH50">
        <f t="shared" si="63"/>
        <v>3632.7979047179761</v>
      </c>
      <c r="QI50">
        <f t="shared" si="63"/>
        <v>3641.1675867689019</v>
      </c>
      <c r="QJ50">
        <f t="shared" si="63"/>
        <v>3649.538177612616</v>
      </c>
      <c r="QK50">
        <f t="shared" si="63"/>
        <v>3657.9096794373422</v>
      </c>
      <c r="QL50">
        <f t="shared" si="63"/>
        <v>3666.2820944322166</v>
      </c>
      <c r="QM50">
        <f t="shared" si="63"/>
        <v>3674.6554247873055</v>
      </c>
      <c r="QN50">
        <f t="shared" si="63"/>
        <v>3683.029672693594</v>
      </c>
      <c r="QO50">
        <f t="shared" si="63"/>
        <v>3691.4048403430033</v>
      </c>
      <c r="QP50">
        <f t="shared" si="63"/>
        <v>3699.7809299283736</v>
      </c>
      <c r="QQ50">
        <f t="shared" si="63"/>
        <v>3708.1579436434836</v>
      </c>
      <c r="QR50">
        <f t="shared" si="64"/>
        <v>3716.5358836830483</v>
      </c>
      <c r="QS50">
        <f t="shared" si="64"/>
        <v>3724.9147522427138</v>
      </c>
      <c r="QT50">
        <f t="shared" si="64"/>
        <v>3733.2945515190722</v>
      </c>
      <c r="QU50">
        <f t="shared" si="64"/>
        <v>3741.6752837096496</v>
      </c>
      <c r="QV50">
        <f t="shared" si="64"/>
        <v>3750.056951012923</v>
      </c>
      <c r="QW50">
        <f t="shared" si="64"/>
        <v>3758.4395556283125</v>
      </c>
      <c r="QX50">
        <f t="shared" si="64"/>
        <v>3766.8230997561932</v>
      </c>
      <c r="QY50">
        <f t="shared" si="64"/>
        <v>3775.207585597871</v>
      </c>
      <c r="QZ50">
        <f t="shared" si="64"/>
        <v>3783.5930153556346</v>
      </c>
      <c r="RA50">
        <f t="shared" si="64"/>
        <v>3791.9793912327091</v>
      </c>
      <c r="RB50">
        <f t="shared" si="65"/>
        <v>3800.3667154332888</v>
      </c>
      <c r="RC50">
        <f t="shared" si="65"/>
        <v>3808.7549901625093</v>
      </c>
      <c r="RD50">
        <f t="shared" si="65"/>
        <v>3817.1442176264959</v>
      </c>
      <c r="RE50">
        <f t="shared" si="65"/>
        <v>3825.5344000323244</v>
      </c>
      <c r="RF50">
        <f t="shared" si="65"/>
        <v>3833.9255395880446</v>
      </c>
      <c r="RG50">
        <f t="shared" si="65"/>
        <v>3842.3176385026591</v>
      </c>
      <c r="RH50">
        <f t="shared" si="65"/>
        <v>3850.7106989861709</v>
      </c>
      <c r="RI50">
        <f t="shared" si="65"/>
        <v>3859.1047232495421</v>
      </c>
      <c r="RJ50">
        <f t="shared" si="65"/>
        <v>3867.499713504717</v>
      </c>
      <c r="RK50">
        <f t="shared" si="65"/>
        <v>3875.8956719646048</v>
      </c>
      <c r="RL50">
        <f t="shared" si="66"/>
        <v>3884.292600843125</v>
      </c>
      <c r="RM50">
        <f t="shared" si="66"/>
        <v>3892.6905023551599</v>
      </c>
      <c r="RN50">
        <f t="shared" si="66"/>
        <v>3901.0893787165937</v>
      </c>
      <c r="RO50">
        <f t="shared" si="66"/>
        <v>3909.4892321442785</v>
      </c>
      <c r="RP50">
        <f t="shared" si="66"/>
        <v>3917.8900648560852</v>
      </c>
      <c r="RQ50">
        <f t="shared" si="66"/>
        <v>3926.2918790708618</v>
      </c>
      <c r="RR50">
        <f t="shared" si="66"/>
        <v>3934.6946770084633</v>
      </c>
      <c r="RS50">
        <f t="shared" si="66"/>
        <v>3943.0984608897274</v>
      </c>
      <c r="RT50">
        <f t="shared" si="66"/>
        <v>3951.5032329365172</v>
      </c>
      <c r="RU50">
        <f t="shared" si="66"/>
        <v>3959.9089953716866</v>
      </c>
      <c r="RV50">
        <f t="shared" si="67"/>
        <v>3968.3157504190895</v>
      </c>
      <c r="RW50">
        <f t="shared" si="67"/>
        <v>3976.7235003036012</v>
      </c>
      <c r="RX50">
        <f t="shared" si="67"/>
        <v>3985.1322472511019</v>
      </c>
      <c r="RY50">
        <f t="shared" si="67"/>
        <v>3993.5419934884976</v>
      </c>
      <c r="RZ50">
        <f t="shared" si="67"/>
        <v>4001.952741243691</v>
      </c>
      <c r="SA50">
        <f t="shared" si="67"/>
        <v>4010.3644927456176</v>
      </c>
      <c r="SB50">
        <f t="shared" si="67"/>
        <v>4018.7772502242269</v>
      </c>
      <c r="SC50">
        <f t="shared" si="67"/>
        <v>4027.1910159105073</v>
      </c>
      <c r="SD50">
        <f t="shared" si="67"/>
        <v>4035.6057920364487</v>
      </c>
      <c r="SE50">
        <f t="shared" si="67"/>
        <v>4044.0215808350886</v>
      </c>
      <c r="SF50">
        <f t="shared" si="68"/>
        <v>4052.4383845404845</v>
      </c>
      <c r="SG50">
        <f t="shared" si="68"/>
        <v>4060.8562053877472</v>
      </c>
      <c r="SH50">
        <f t="shared" si="68"/>
        <v>4069.2750456129943</v>
      </c>
      <c r="SI50">
        <f t="shared" si="68"/>
        <v>4077.6949074534023</v>
      </c>
      <c r="SJ50">
        <f t="shared" si="68"/>
        <v>4086.1157931471785</v>
      </c>
      <c r="SK50">
        <f t="shared" si="68"/>
        <v>4094.5377049335916</v>
      </c>
      <c r="SL50">
        <f t="shared" si="68"/>
        <v>4102.9606450529291</v>
      </c>
      <c r="SM50">
        <f t="shared" si="68"/>
        <v>4111.384615746545</v>
      </c>
      <c r="SN50">
        <f t="shared" si="68"/>
        <v>4119.8096192568373</v>
      </c>
      <c r="SO50">
        <f t="shared" si="68"/>
        <v>4128.2356578272684</v>
      </c>
      <c r="SP50">
        <f t="shared" si="69"/>
        <v>4136.6627337023419</v>
      </c>
      <c r="SQ50">
        <f t="shared" si="69"/>
        <v>4145.0908491276259</v>
      </c>
      <c r="SR50">
        <f t="shared" si="69"/>
        <v>4153.5200063497523</v>
      </c>
      <c r="SS50">
        <f t="shared" si="69"/>
        <v>4161.9502076164063</v>
      </c>
      <c r="ST50">
        <f t="shared" si="69"/>
        <v>4170.3814551763544</v>
      </c>
      <c r="SU50">
        <f t="shared" si="69"/>
        <v>4178.8137512794165</v>
      </c>
      <c r="SV50">
        <f t="shared" si="69"/>
        <v>4187.2470981764936</v>
      </c>
      <c r="SW50">
        <f t="shared" si="69"/>
        <v>4195.6814981195521</v>
      </c>
      <c r="SX50">
        <f t="shared" si="69"/>
        <v>4204.1169533616376</v>
      </c>
      <c r="SY50">
        <f t="shared" si="69"/>
        <v>4212.5534661568781</v>
      </c>
      <c r="SZ50">
        <f t="shared" si="70"/>
        <v>4220.991038760475</v>
      </c>
      <c r="TA50">
        <f t="shared" si="70"/>
        <v>4229.4296734287173</v>
      </c>
      <c r="TB50">
        <f t="shared" si="70"/>
        <v>4237.8693724189779</v>
      </c>
      <c r="TC50">
        <f t="shared" si="70"/>
        <v>4246.3101379897198</v>
      </c>
      <c r="TD50">
        <f t="shared" si="70"/>
        <v>4254.7519724004969</v>
      </c>
      <c r="TE50">
        <f t="shared" si="70"/>
        <v>4263.1948779119539</v>
      </c>
      <c r="TF50">
        <f t="shared" si="70"/>
        <v>4271.6388567858312</v>
      </c>
      <c r="TG50">
        <f t="shared" si="70"/>
        <v>4280.0839112849717</v>
      </c>
      <c r="TH50">
        <f t="shared" si="70"/>
        <v>4288.5300436733141</v>
      </c>
      <c r="TI50">
        <f t="shared" si="70"/>
        <v>4296.9772562159051</v>
      </c>
      <c r="TJ50">
        <f t="shared" si="71"/>
        <v>4305.4255511788933</v>
      </c>
      <c r="TK50">
        <f t="shared" si="71"/>
        <v>4313.8749308295373</v>
      </c>
      <c r="TL50">
        <f t="shared" si="71"/>
        <v>4322.3253974362087</v>
      </c>
      <c r="TM50">
        <f t="shared" si="71"/>
        <v>4330.7769532683869</v>
      </c>
      <c r="TN50">
        <f t="shared" si="71"/>
        <v>4339.2296005966773</v>
      </c>
      <c r="TO50">
        <f t="shared" si="71"/>
        <v>4347.6833416927911</v>
      </c>
      <c r="TP50">
        <f t="shared" si="71"/>
        <v>4356.1381788295721</v>
      </c>
      <c r="TQ50">
        <f t="shared" si="71"/>
        <v>4364.5941142809816</v>
      </c>
      <c r="TR50">
        <f t="shared" si="71"/>
        <v>4373.051150322106</v>
      </c>
      <c r="TS50">
        <f t="shared" si="71"/>
        <v>4381.509289229165</v>
      </c>
      <c r="TT50">
        <f t="shared" si="72"/>
        <v>4389.9685332795088</v>
      </c>
      <c r="TU50">
        <f t="shared" si="72"/>
        <v>4398.4288847516173</v>
      </c>
      <c r="TV50">
        <f t="shared" si="72"/>
        <v>4406.8903459251096</v>
      </c>
      <c r="TW50">
        <f t="shared" si="72"/>
        <v>4415.3529190807467</v>
      </c>
      <c r="TX50">
        <f t="shared" si="72"/>
        <v>4423.8166065004252</v>
      </c>
      <c r="TY50">
        <f t="shared" si="72"/>
        <v>4432.2814104671907</v>
      </c>
      <c r="TZ50">
        <f t="shared" si="72"/>
        <v>4440.7473332652326</v>
      </c>
      <c r="UA50">
        <f t="shared" si="72"/>
        <v>4449.2143771798928</v>
      </c>
      <c r="UB50">
        <f t="shared" si="72"/>
        <v>4457.6825444976585</v>
      </c>
      <c r="UC50">
        <f t="shared" si="72"/>
        <v>4466.1518375061805</v>
      </c>
      <c r="UD50">
        <f t="shared" si="73"/>
        <v>4474.6222584942579</v>
      </c>
      <c r="UE50">
        <f t="shared" si="73"/>
        <v>4483.0938097518538</v>
      </c>
      <c r="UF50">
        <f t="shared" si="73"/>
        <v>4491.5664935700934</v>
      </c>
      <c r="UG50">
        <f t="shared" si="73"/>
        <v>4500.0403122412681</v>
      </c>
      <c r="UH50">
        <f t="shared" si="73"/>
        <v>4508.5152680588299</v>
      </c>
      <c r="UI50">
        <f t="shared" si="73"/>
        <v>4516.9913633174065</v>
      </c>
      <c r="UJ50">
        <f t="shared" si="73"/>
        <v>4525.468600312799</v>
      </c>
      <c r="UK50">
        <f t="shared" si="73"/>
        <v>4533.9469813419801</v>
      </c>
      <c r="UL50">
        <f t="shared" si="73"/>
        <v>4542.4265087031008</v>
      </c>
      <c r="UM50">
        <f t="shared" si="73"/>
        <v>4550.9071846954939</v>
      </c>
      <c r="UN50">
        <f t="shared" si="74"/>
        <v>4559.3890116196735</v>
      </c>
      <c r="UO50">
        <f t="shared" si="74"/>
        <v>4567.8719917773387</v>
      </c>
      <c r="UP50">
        <f t="shared" si="74"/>
        <v>4576.356127471382</v>
      </c>
      <c r="UQ50">
        <f t="shared" si="74"/>
        <v>4584.8414210058809</v>
      </c>
      <c r="UR50">
        <f t="shared" si="74"/>
        <v>4593.3278746861024</v>
      </c>
      <c r="US50">
        <f t="shared" si="74"/>
        <v>4601.8154908185224</v>
      </c>
      <c r="UT50">
        <f t="shared" si="74"/>
        <v>4610.3042717108037</v>
      </c>
      <c r="UU50">
        <f t="shared" si="74"/>
        <v>4618.7942196718141</v>
      </c>
      <c r="UV50">
        <f t="shared" si="74"/>
        <v>4627.2853370116272</v>
      </c>
      <c r="UW50">
        <f t="shared" si="74"/>
        <v>4635.7776260415212</v>
      </c>
      <c r="UX50">
        <f t="shared" si="75"/>
        <v>4644.2710890739827</v>
      </c>
      <c r="UY50">
        <f t="shared" si="75"/>
        <v>4652.7657284227107</v>
      </c>
      <c r="UZ50">
        <f t="shared" si="75"/>
        <v>4661.2615464026185</v>
      </c>
      <c r="VA50">
        <f t="shared" si="75"/>
        <v>4669.7585453298343</v>
      </c>
      <c r="VB50">
        <f t="shared" si="75"/>
        <v>4678.2567275217152</v>
      </c>
      <c r="VC50">
        <f t="shared" si="75"/>
        <v>4686.7560952968252</v>
      </c>
      <c r="VD50">
        <f t="shared" si="75"/>
        <v>4695.2566509749659</v>
      </c>
      <c r="VE50">
        <f t="shared" si="75"/>
        <v>4703.7583968771587</v>
      </c>
      <c r="VF50">
        <f t="shared" si="75"/>
        <v>4712.2613353256638</v>
      </c>
      <c r="VG50">
        <f t="shared" si="75"/>
        <v>4720.7654686439628</v>
      </c>
      <c r="VH50">
        <f t="shared" si="76"/>
        <v>4729.2707991567822</v>
      </c>
      <c r="VI50">
        <f t="shared" si="76"/>
        <v>4737.7773291900812</v>
      </c>
      <c r="VJ50">
        <f t="shared" si="76"/>
        <v>4746.2850610710657</v>
      </c>
      <c r="VK50">
        <f t="shared" si="76"/>
        <v>4754.7939971281776</v>
      </c>
      <c r="VL50">
        <f t="shared" si="76"/>
        <v>4763.3041396911112</v>
      </c>
      <c r="VM50">
        <f t="shared" si="76"/>
        <v>4771.8154910908052</v>
      </c>
      <c r="VN50">
        <f t="shared" si="76"/>
        <v>4780.3280536594521</v>
      </c>
      <c r="VO50">
        <f t="shared" si="76"/>
        <v>4788.8418297304997</v>
      </c>
      <c r="VP50">
        <f t="shared" si="76"/>
        <v>4797.3568216386493</v>
      </c>
      <c r="VQ50">
        <f t="shared" si="76"/>
        <v>4805.873031719866</v>
      </c>
      <c r="VR50">
        <f t="shared" si="77"/>
        <v>4814.3904623113731</v>
      </c>
      <c r="VS50">
        <f t="shared" si="77"/>
        <v>4822.9091157516605</v>
      </c>
      <c r="VT50">
        <f t="shared" si="77"/>
        <v>4831.4289943804843</v>
      </c>
      <c r="VU50">
        <f t="shared" si="77"/>
        <v>4839.9501005388756</v>
      </c>
      <c r="VV50">
        <f t="shared" si="77"/>
        <v>4848.4724365691327</v>
      </c>
      <c r="VW50">
        <f t="shared" si="77"/>
        <v>4856.9960048148341</v>
      </c>
      <c r="VX50">
        <f t="shared" si="77"/>
        <v>4865.5208076208319</v>
      </c>
      <c r="VY50">
        <f t="shared" si="77"/>
        <v>4874.0468473332658</v>
      </c>
      <c r="VZ50">
        <f t="shared" si="77"/>
        <v>4882.5741262995516</v>
      </c>
      <c r="WA50">
        <f t="shared" si="77"/>
        <v>4891.1026468683995</v>
      </c>
      <c r="WB50">
        <f t="shared" si="78"/>
        <v>4899.6324113898027</v>
      </c>
      <c r="WC50">
        <f t="shared" si="78"/>
        <v>4908.1634222150487</v>
      </c>
      <c r="WD50">
        <f t="shared" si="78"/>
        <v>4916.6956816967213</v>
      </c>
      <c r="WE50">
        <f t="shared" si="78"/>
        <v>4925.229192188699</v>
      </c>
      <c r="WF50">
        <f t="shared" si="78"/>
        <v>4933.7639560461612</v>
      </c>
      <c r="WG50">
        <f t="shared" si="78"/>
        <v>4942.2999756255904</v>
      </c>
      <c r="WH50">
        <f t="shared" si="78"/>
        <v>4950.837253284777</v>
      </c>
      <c r="WI50">
        <f t="shared" si="78"/>
        <v>4959.3757913828158</v>
      </c>
      <c r="WJ50">
        <f t="shared" si="78"/>
        <v>4967.9155922801147</v>
      </c>
      <c r="WK50">
        <f t="shared" si="78"/>
        <v>4976.4566583383939</v>
      </c>
      <c r="WL50">
        <f t="shared" si="79"/>
        <v>4984.9989919206928</v>
      </c>
      <c r="WM50">
        <f t="shared" si="79"/>
        <v>4993.5425953913691</v>
      </c>
      <c r="WN50">
        <f t="shared" si="79"/>
        <v>5002.0874711160996</v>
      </c>
    </row>
    <row r="51" spans="2:612" x14ac:dyDescent="0.25">
      <c r="B51">
        <v>4</v>
      </c>
      <c r="C51">
        <f>C52+0.8</f>
        <v>0.86250000000000004</v>
      </c>
      <c r="D51">
        <v>1.1100000000000001</v>
      </c>
      <c r="J51">
        <f>(($C52+0.4)*TAN(RADIANS(J$47))*$D51*0.8*1000*9.8*$C51)+((0.8*TAN(RADIANS(J$47)))*0.8/2*$D51*1000*9.8)*($C51+0.8/6)</f>
        <v>2.4217832764464466</v>
      </c>
      <c r="K51">
        <f t="shared" si="35"/>
        <v>4.8435671430669114</v>
      </c>
      <c r="L51">
        <f t="shared" si="35"/>
        <v>7.2653521900359852</v>
      </c>
      <c r="M51">
        <f t="shared" si="35"/>
        <v>9.6871390075294208</v>
      </c>
      <c r="N51">
        <f t="shared" si="35"/>
        <v>12.108928185724677</v>
      </c>
      <c r="O51">
        <f t="shared" si="35"/>
        <v>14.530720314801533</v>
      </c>
      <c r="P51">
        <f t="shared" si="35"/>
        <v>16.952515984942632</v>
      </c>
      <c r="Q51">
        <f t="shared" si="35"/>
        <v>19.374315786334073</v>
      </c>
      <c r="R51">
        <f t="shared" si="35"/>
        <v>21.796120309165985</v>
      </c>
      <c r="S51">
        <f t="shared" si="35"/>
        <v>24.217930143633097</v>
      </c>
      <c r="T51">
        <f t="shared" si="35"/>
        <v>26.639745879935315</v>
      </c>
      <c r="U51">
        <f t="shared" si="35"/>
        <v>29.061568108278294</v>
      </c>
      <c r="V51">
        <f t="shared" si="35"/>
        <v>31.483397418874038</v>
      </c>
      <c r="W51">
        <f t="shared" si="35"/>
        <v>33.905234401941414</v>
      </c>
      <c r="X51">
        <f t="shared" si="35"/>
        <v>36.32707964770681</v>
      </c>
      <c r="Y51">
        <f t="shared" si="35"/>
        <v>38.748933746404646</v>
      </c>
      <c r="Z51">
        <f t="shared" si="35"/>
        <v>41.170797288277981</v>
      </c>
      <c r="AA51">
        <f t="shared" si="35"/>
        <v>43.592670863579073</v>
      </c>
      <c r="AB51">
        <f t="shared" si="35"/>
        <v>46.014555062569976</v>
      </c>
      <c r="AC51">
        <f t="shared" si="35"/>
        <v>48.436450475523067</v>
      </c>
      <c r="AD51">
        <f t="shared" si="35"/>
        <v>50.858357692721682</v>
      </c>
      <c r="AE51">
        <f t="shared" si="35"/>
        <v>53.280277304460668</v>
      </c>
      <c r="AF51">
        <f t="shared" si="35"/>
        <v>55.702209901046956</v>
      </c>
      <c r="AG51">
        <f t="shared" si="35"/>
        <v>58.124156072800062</v>
      </c>
      <c r="AH51">
        <f t="shared" si="35"/>
        <v>60.546116410052903</v>
      </c>
      <c r="AI51">
        <f t="shared" si="35"/>
        <v>62.968091503152017</v>
      </c>
      <c r="AJ51">
        <f t="shared" si="35"/>
        <v>65.390081942458409</v>
      </c>
      <c r="AK51">
        <f t="shared" si="35"/>
        <v>67.812088318348117</v>
      </c>
      <c r="AL51">
        <f t="shared" si="35"/>
        <v>70.234111221212586</v>
      </c>
      <c r="AM51">
        <f t="shared" si="35"/>
        <v>72.656151241459455</v>
      </c>
      <c r="AN51">
        <f t="shared" si="35"/>
        <v>75.078208969513042</v>
      </c>
      <c r="AO51">
        <f t="shared" si="35"/>
        <v>77.500284995814894</v>
      </c>
      <c r="AP51">
        <f t="shared" si="35"/>
        <v>79.922379910824418</v>
      </c>
      <c r="AQ51">
        <f t="shared" si="35"/>
        <v>82.344494305019481</v>
      </c>
      <c r="AR51">
        <f t="shared" si="35"/>
        <v>84.766628768896837</v>
      </c>
      <c r="AS51">
        <f t="shared" si="35"/>
        <v>87.188783892972907</v>
      </c>
      <c r="AT51">
        <f t="shared" si="35"/>
        <v>89.610960267784236</v>
      </c>
      <c r="AU51">
        <f t="shared" si="35"/>
        <v>92.033158483888059</v>
      </c>
      <c r="AV51">
        <f t="shared" si="35"/>
        <v>94.455379131862884</v>
      </c>
      <c r="AW51">
        <f t="shared" si="35"/>
        <v>96.877622802309148</v>
      </c>
      <c r="AX51">
        <f t="shared" si="35"/>
        <v>99.299890085849739</v>
      </c>
      <c r="AY51">
        <f t="shared" si="35"/>
        <v>101.72218157313054</v>
      </c>
      <c r="AZ51">
        <f t="shared" si="35"/>
        <v>104.14449785482098</v>
      </c>
      <c r="BA51">
        <f t="shared" si="35"/>
        <v>106.56683952161481</v>
      </c>
      <c r="BB51">
        <f t="shared" si="35"/>
        <v>108.98920716423038</v>
      </c>
      <c r="BC51">
        <f t="shared" si="35"/>
        <v>111.41160137341146</v>
      </c>
      <c r="BD51">
        <f t="shared" si="35"/>
        <v>113.83402273992772</v>
      </c>
      <c r="BE51">
        <f t="shared" si="35"/>
        <v>116.25647185457527</v>
      </c>
      <c r="BF51">
        <f t="shared" si="35"/>
        <v>118.67894930817734</v>
      </c>
      <c r="BG51">
        <f t="shared" si="35"/>
        <v>121.10145569158473</v>
      </c>
      <c r="BH51">
        <f t="shared" si="35"/>
        <v>123.52399159567649</v>
      </c>
      <c r="BI51">
        <f t="shared" si="35"/>
        <v>125.94655761136046</v>
      </c>
      <c r="BJ51">
        <f t="shared" si="35"/>
        <v>128.36915432957383</v>
      </c>
      <c r="BK51">
        <f t="shared" si="35"/>
        <v>130.79178234128369</v>
      </c>
      <c r="BL51">
        <f t="shared" si="35"/>
        <v>133.21444223748787</v>
      </c>
      <c r="BM51">
        <f t="shared" si="35"/>
        <v>135.63713460921494</v>
      </c>
      <c r="BN51">
        <f t="shared" si="35"/>
        <v>138.05986004752538</v>
      </c>
      <c r="BO51">
        <f t="shared" si="35"/>
        <v>140.48261914351195</v>
      </c>
      <c r="BP51">
        <f t="shared" si="35"/>
        <v>142.9054124883001</v>
      </c>
      <c r="BQ51">
        <f t="shared" si="35"/>
        <v>145.32824067304881</v>
      </c>
      <c r="BR51">
        <f t="shared" si="35"/>
        <v>147.75110428895084</v>
      </c>
      <c r="BS51">
        <f t="shared" si="35"/>
        <v>150.17400392723374</v>
      </c>
      <c r="BT51">
        <f t="shared" si="35"/>
        <v>152.59694017916013</v>
      </c>
      <c r="BU51">
        <f t="shared" si="35"/>
        <v>155.01991363602832</v>
      </c>
      <c r="BV51">
        <f>(($C52+0.4)*TAN(RADIANS(BV$47))*$D51*0.8*1000*9.8*$C51)+((0.8*TAN(RADIANS(BV$47)))*0.8/2*$D51*1000*9.8)*($C51+0.8/6)</f>
        <v>157.4429248891729</v>
      </c>
      <c r="BW51">
        <f t="shared" si="36"/>
        <v>159.86597452996526</v>
      </c>
      <c r="BX51">
        <f t="shared" si="36"/>
        <v>162.28906314981447</v>
      </c>
      <c r="BY51">
        <f t="shared" si="36"/>
        <v>164.71219134016738</v>
      </c>
      <c r="BZ51">
        <f t="shared" si="36"/>
        <v>167.13535969250955</v>
      </c>
      <c r="CA51">
        <f t="shared" si="36"/>
        <v>169.5585687983658</v>
      </c>
      <c r="CB51">
        <f t="shared" si="36"/>
        <v>171.98181924930049</v>
      </c>
      <c r="CC51">
        <f t="shared" si="36"/>
        <v>174.4051116369186</v>
      </c>
      <c r="CD51">
        <f t="shared" si="36"/>
        <v>176.82844655286576</v>
      </c>
      <c r="CE51">
        <f t="shared" si="36"/>
        <v>179.25182458882932</v>
      </c>
      <c r="CF51">
        <f t="shared" si="36"/>
        <v>181.67524633653852</v>
      </c>
      <c r="CG51">
        <f t="shared" si="36"/>
        <v>184.09871238776532</v>
      </c>
      <c r="CH51">
        <f t="shared" si="36"/>
        <v>186.52222333432502</v>
      </c>
      <c r="CI51">
        <f t="shared" si="36"/>
        <v>188.94577976807659</v>
      </c>
      <c r="CJ51">
        <f t="shared" si="36"/>
        <v>191.36938228092333</v>
      </c>
      <c r="CK51">
        <f t="shared" si="36"/>
        <v>193.79303146481377</v>
      </c>
      <c r="CL51">
        <f t="shared" si="36"/>
        <v>196.21672791174166</v>
      </c>
      <c r="CM51">
        <f t="shared" si="36"/>
        <v>198.64047221374707</v>
      </c>
      <c r="CN51">
        <f t="shared" si="36"/>
        <v>201.06426496291689</v>
      </c>
      <c r="CO51">
        <f t="shared" si="36"/>
        <v>203.48810675138503</v>
      </c>
      <c r="CP51">
        <f t="shared" si="36"/>
        <v>205.91199817133329</v>
      </c>
      <c r="CQ51">
        <f t="shared" si="36"/>
        <v>208.33593981499214</v>
      </c>
      <c r="CR51">
        <f t="shared" si="36"/>
        <v>210.7599322746409</v>
      </c>
      <c r="CS51">
        <f t="shared" si="36"/>
        <v>213.18397614260849</v>
      </c>
      <c r="CT51">
        <f t="shared" si="36"/>
        <v>215.608072011274</v>
      </c>
      <c r="CU51">
        <f t="shared" si="36"/>
        <v>218.03222047306741</v>
      </c>
      <c r="CV51">
        <f t="shared" si="36"/>
        <v>220.45642212046988</v>
      </c>
      <c r="CW51">
        <f t="shared" si="36"/>
        <v>222.88067754601462</v>
      </c>
      <c r="CX51">
        <f t="shared" si="36"/>
        <v>225.30498734228723</v>
      </c>
      <c r="CY51">
        <f t="shared" si="36"/>
        <v>227.72935210192651</v>
      </c>
      <c r="CZ51">
        <f t="shared" si="36"/>
        <v>230.15377241762479</v>
      </c>
      <c r="DA51">
        <f t="shared" si="36"/>
        <v>232.57824888212878</v>
      </c>
      <c r="DB51">
        <f t="shared" si="36"/>
        <v>235.00278208823988</v>
      </c>
      <c r="DC51">
        <f t="shared" si="36"/>
        <v>237.42737262881508</v>
      </c>
      <c r="DD51">
        <f t="shared" si="36"/>
        <v>239.85202109676703</v>
      </c>
      <c r="DE51">
        <f t="shared" si="36"/>
        <v>242.27672808506529</v>
      </c>
      <c r="DF51">
        <f t="shared" si="36"/>
        <v>244.70149418673643</v>
      </c>
      <c r="DG51">
        <f t="shared" si="36"/>
        <v>247.12631999486456</v>
      </c>
      <c r="DH51">
        <f t="shared" si="36"/>
        <v>249.55120610259252</v>
      </c>
      <c r="DI51">
        <f t="shared" si="36"/>
        <v>251.9761531031217</v>
      </c>
      <c r="DJ51">
        <f t="shared" si="36"/>
        <v>254.40116158971301</v>
      </c>
      <c r="DK51">
        <f t="shared" si="36"/>
        <v>256.82623215568753</v>
      </c>
      <c r="DL51">
        <f t="shared" si="36"/>
        <v>259.2513653944269</v>
      </c>
      <c r="DM51">
        <f t="shared" si="36"/>
        <v>261.67656189937401</v>
      </c>
      <c r="DN51">
        <f t="shared" si="36"/>
        <v>264.10182226403344</v>
      </c>
      <c r="DO51">
        <f t="shared" si="36"/>
        <v>266.52714708197232</v>
      </c>
      <c r="DP51">
        <f t="shared" si="36"/>
        <v>268.9525369468206</v>
      </c>
      <c r="DQ51">
        <f t="shared" si="36"/>
        <v>271.377992452272</v>
      </c>
      <c r="DR51">
        <f t="shared" si="36"/>
        <v>273.80351419208398</v>
      </c>
      <c r="DS51">
        <f t="shared" si="36"/>
        <v>276.22910276007906</v>
      </c>
      <c r="DT51">
        <f t="shared" si="36"/>
        <v>278.65475875014511</v>
      </c>
      <c r="DU51">
        <f t="shared" si="36"/>
        <v>281.08048275623526</v>
      </c>
      <c r="DV51">
        <f t="shared" si="36"/>
        <v>283.50627537236994</v>
      </c>
      <c r="DW51">
        <f t="shared" si="36"/>
        <v>285.93213719263611</v>
      </c>
      <c r="DX51">
        <f t="shared" si="36"/>
        <v>288.3580688111885</v>
      </c>
      <c r="DY51">
        <f t="shared" si="36"/>
        <v>290.78407082224999</v>
      </c>
      <c r="DZ51">
        <f t="shared" si="36"/>
        <v>293.21014382011231</v>
      </c>
      <c r="EA51">
        <f t="shared" si="36"/>
        <v>295.63628839913645</v>
      </c>
      <c r="EB51">
        <f t="shared" si="36"/>
        <v>298.06250515375365</v>
      </c>
      <c r="EC51">
        <f t="shared" si="36"/>
        <v>300.48879467846541</v>
      </c>
      <c r="ED51">
        <f t="shared" si="36"/>
        <v>302.91515756784435</v>
      </c>
      <c r="EE51">
        <f t="shared" si="36"/>
        <v>305.34159441653503</v>
      </c>
      <c r="EF51">
        <f t="shared" si="36"/>
        <v>307.76810581925434</v>
      </c>
      <c r="EG51">
        <f t="shared" si="36"/>
        <v>310.1946923707917</v>
      </c>
      <c r="EH51">
        <f>(($C52+0.4)*TAN(RADIANS(EH$47))*$D51*0.8*1000*9.8*$C51)+((0.8*TAN(RADIANS(EH$47)))*0.8/2*$D51*1000*9.8)*($C51+0.8/6)</f>
        <v>312.62135466601023</v>
      </c>
      <c r="EI51">
        <f t="shared" si="37"/>
        <v>315.04809329984721</v>
      </c>
      <c r="EJ51">
        <f t="shared" si="37"/>
        <v>317.4749088673143</v>
      </c>
      <c r="EK51">
        <f t="shared" si="37"/>
        <v>319.9018019634986</v>
      </c>
      <c r="EL51">
        <f t="shared" si="37"/>
        <v>322.32877318356293</v>
      </c>
      <c r="EM51">
        <f t="shared" si="37"/>
        <v>324.75582312274651</v>
      </c>
      <c r="EN51">
        <f t="shared" si="37"/>
        <v>327.18295237636539</v>
      </c>
      <c r="EO51">
        <f t="shared" si="37"/>
        <v>329.61016153981365</v>
      </c>
      <c r="EP51">
        <f t="shared" si="37"/>
        <v>332.03745120856291</v>
      </c>
      <c r="EQ51">
        <f t="shared" si="37"/>
        <v>334.46482197816408</v>
      </c>
      <c r="ER51">
        <f t="shared" si="37"/>
        <v>336.89227444424716</v>
      </c>
      <c r="ES51">
        <f t="shared" si="37"/>
        <v>339.31980920252192</v>
      </c>
      <c r="ET51">
        <f t="shared" si="37"/>
        <v>341.74742684877879</v>
      </c>
      <c r="EU51">
        <f t="shared" si="37"/>
        <v>344.17512797888924</v>
      </c>
      <c r="EV51">
        <f t="shared" si="37"/>
        <v>346.60291318880661</v>
      </c>
      <c r="EW51">
        <f t="shared" si="37"/>
        <v>349.03078307456622</v>
      </c>
      <c r="EX51">
        <f t="shared" si="37"/>
        <v>351.45873823228635</v>
      </c>
      <c r="EY51">
        <f t="shared" si="37"/>
        <v>353.88677925816876</v>
      </c>
      <c r="EZ51">
        <f t="shared" si="37"/>
        <v>356.31490674849914</v>
      </c>
      <c r="FA51">
        <f t="shared" si="37"/>
        <v>358.74312129964778</v>
      </c>
      <c r="FB51">
        <f t="shared" si="37"/>
        <v>361.17142350807035</v>
      </c>
      <c r="FC51">
        <f t="shared" si="37"/>
        <v>363.59981397030833</v>
      </c>
      <c r="FD51">
        <f t="shared" si="37"/>
        <v>366.02829328298913</v>
      </c>
      <c r="FE51">
        <f t="shared" si="37"/>
        <v>368.45686204282759</v>
      </c>
      <c r="FF51">
        <f t="shared" si="37"/>
        <v>370.88552084662604</v>
      </c>
      <c r="FG51">
        <f t="shared" si="37"/>
        <v>373.31427029127474</v>
      </c>
      <c r="FH51">
        <f t="shared" si="37"/>
        <v>375.74311097375278</v>
      </c>
      <c r="FI51">
        <f t="shared" si="37"/>
        <v>378.17204349112876</v>
      </c>
      <c r="FJ51">
        <f t="shared" si="37"/>
        <v>380.60106844056088</v>
      </c>
      <c r="FK51">
        <f t="shared" si="37"/>
        <v>383.03018641929816</v>
      </c>
      <c r="FL51">
        <f t="shared" si="37"/>
        <v>385.45939802468047</v>
      </c>
      <c r="FM51">
        <f t="shared" si="37"/>
        <v>387.88870385413941</v>
      </c>
      <c r="FN51">
        <f t="shared" si="37"/>
        <v>390.31810450519879</v>
      </c>
      <c r="FO51">
        <f t="shared" si="37"/>
        <v>392.74760057547576</v>
      </c>
      <c r="FP51">
        <f t="shared" si="37"/>
        <v>395.17719266268</v>
      </c>
      <c r="FQ51">
        <f t="shared" si="37"/>
        <v>397.60688136461624</v>
      </c>
      <c r="FR51">
        <f t="shared" si="37"/>
        <v>400.03666727918301</v>
      </c>
      <c r="FS51">
        <f t="shared" si="37"/>
        <v>402.46655100437488</v>
      </c>
      <c r="FT51">
        <f t="shared" si="37"/>
        <v>404.89653313828137</v>
      </c>
      <c r="FU51">
        <f t="shared" si="37"/>
        <v>407.32661427908914</v>
      </c>
      <c r="FV51">
        <f t="shared" si="37"/>
        <v>409.75679502508137</v>
      </c>
      <c r="FW51">
        <f t="shared" si="37"/>
        <v>412.18707597463919</v>
      </c>
      <c r="FX51">
        <f t="shared" si="37"/>
        <v>414.61745772624147</v>
      </c>
      <c r="FY51">
        <f t="shared" si="37"/>
        <v>417.04794087846636</v>
      </c>
      <c r="FZ51">
        <f t="shared" si="37"/>
        <v>419.47852602999114</v>
      </c>
      <c r="GA51">
        <f t="shared" si="37"/>
        <v>421.90921377959307</v>
      </c>
      <c r="GB51">
        <f t="shared" si="37"/>
        <v>424.34000472614991</v>
      </c>
      <c r="GC51">
        <f t="shared" si="37"/>
        <v>426.77089946864055</v>
      </c>
      <c r="GD51">
        <f t="shared" si="37"/>
        <v>429.20189860614596</v>
      </c>
      <c r="GE51">
        <f t="shared" si="37"/>
        <v>431.63300273784887</v>
      </c>
      <c r="GF51">
        <f t="shared" si="37"/>
        <v>434.06421246303563</v>
      </c>
      <c r="GG51">
        <f t="shared" si="37"/>
        <v>436.49552838109548</v>
      </c>
      <c r="GH51">
        <f t="shared" si="37"/>
        <v>438.92695109152214</v>
      </c>
      <c r="GI51">
        <f t="shared" si="37"/>
        <v>441.35848119391403</v>
      </c>
      <c r="GJ51">
        <f t="shared" si="37"/>
        <v>443.79011928797485</v>
      </c>
      <c r="GK51">
        <f t="shared" si="37"/>
        <v>446.2218659735139</v>
      </c>
      <c r="GL51">
        <f t="shared" si="37"/>
        <v>448.65372185044771</v>
      </c>
      <c r="GM51">
        <f t="shared" si="37"/>
        <v>451.08568751879903</v>
      </c>
      <c r="GN51">
        <f t="shared" si="37"/>
        <v>453.51776357869892</v>
      </c>
      <c r="GO51">
        <f t="shared" si="37"/>
        <v>455.94995063038652</v>
      </c>
      <c r="GP51">
        <f t="shared" si="37"/>
        <v>458.38224927420993</v>
      </c>
      <c r="GQ51">
        <f t="shared" si="37"/>
        <v>460.81466011062662</v>
      </c>
      <c r="GR51">
        <f t="shared" si="37"/>
        <v>463.24718374020415</v>
      </c>
      <c r="GS51">
        <f t="shared" si="37"/>
        <v>465.6798207636208</v>
      </c>
      <c r="GT51">
        <f>(($C52+0.4)*TAN(RADIANS(GT$47))*$D51*0.8*1000*9.8*$C51)+((0.8*TAN(RADIANS(GT$47)))*0.8/2*$D51*1000*9.8)*($C51+0.8/6)</f>
        <v>468.1125717816663</v>
      </c>
      <c r="GU51">
        <f t="shared" si="38"/>
        <v>470.54543739524189</v>
      </c>
      <c r="GV51">
        <f t="shared" si="38"/>
        <v>472.97841820536149</v>
      </c>
      <c r="GW51">
        <f t="shared" si="38"/>
        <v>475.41151481315205</v>
      </c>
      <c r="GX51">
        <f t="shared" si="38"/>
        <v>477.84472781985426</v>
      </c>
      <c r="GY51">
        <f t="shared" si="38"/>
        <v>480.27805782682299</v>
      </c>
      <c r="GZ51">
        <f t="shared" si="38"/>
        <v>482.71150543552778</v>
      </c>
      <c r="HA51">
        <f t="shared" si="38"/>
        <v>485.14507124755414</v>
      </c>
      <c r="HB51">
        <f t="shared" si="39"/>
        <v>487.57875586460307</v>
      </c>
      <c r="HC51">
        <f t="shared" si="39"/>
        <v>490.01255988849289</v>
      </c>
      <c r="HD51">
        <f t="shared" si="39"/>
        <v>492.44648392115823</v>
      </c>
      <c r="HE51">
        <f t="shared" si="39"/>
        <v>494.88052856465254</v>
      </c>
      <c r="HF51">
        <f t="shared" si="39"/>
        <v>497.31469442114701</v>
      </c>
      <c r="HG51">
        <f t="shared" si="39"/>
        <v>499.74898209293247</v>
      </c>
      <c r="HH51">
        <f t="shared" si="39"/>
        <v>502.18339218241897</v>
      </c>
      <c r="HI51">
        <f t="shared" si="39"/>
        <v>504.61792529213693</v>
      </c>
      <c r="HJ51">
        <f t="shared" si="39"/>
        <v>507.05258202473766</v>
      </c>
      <c r="HK51">
        <f t="shared" si="39"/>
        <v>509.48736298299411</v>
      </c>
      <c r="HL51">
        <f t="shared" si="40"/>
        <v>511.92226876980101</v>
      </c>
      <c r="HM51">
        <f t="shared" si="40"/>
        <v>514.35729998817601</v>
      </c>
      <c r="HN51">
        <f t="shared" si="40"/>
        <v>516.79245724125963</v>
      </c>
      <c r="HO51">
        <f t="shared" si="40"/>
        <v>519.22774113231674</v>
      </c>
      <c r="HP51">
        <f t="shared" si="40"/>
        <v>521.66315226473614</v>
      </c>
      <c r="HQ51">
        <f t="shared" si="40"/>
        <v>524.09869124203237</v>
      </c>
      <c r="HR51">
        <f t="shared" si="40"/>
        <v>526.53435866784525</v>
      </c>
      <c r="HS51">
        <f t="shared" si="40"/>
        <v>528.97015514594091</v>
      </c>
      <c r="HT51">
        <f t="shared" si="40"/>
        <v>531.40608128021211</v>
      </c>
      <c r="HU51">
        <f t="shared" si="40"/>
        <v>533.84213767467963</v>
      </c>
      <c r="HV51">
        <f t="shared" si="41"/>
        <v>536.27832493349229</v>
      </c>
      <c r="HW51">
        <f t="shared" si="41"/>
        <v>538.71464366092709</v>
      </c>
      <c r="HX51">
        <f t="shared" si="41"/>
        <v>541.15109446139013</v>
      </c>
      <c r="HY51">
        <f t="shared" si="41"/>
        <v>543.587677939419</v>
      </c>
      <c r="HZ51">
        <f t="shared" si="41"/>
        <v>546.02439469967999</v>
      </c>
      <c r="IA51">
        <f t="shared" si="41"/>
        <v>548.46124534697162</v>
      </c>
      <c r="IB51">
        <f t="shared" si="41"/>
        <v>550.89823048622361</v>
      </c>
      <c r="IC51">
        <f t="shared" si="41"/>
        <v>553.33535072249788</v>
      </c>
      <c r="ID51">
        <f t="shared" si="41"/>
        <v>555.77260666099005</v>
      </c>
      <c r="IE51">
        <f t="shared" si="41"/>
        <v>558.20999890702842</v>
      </c>
      <c r="IF51">
        <f t="shared" si="42"/>
        <v>560.64752806607589</v>
      </c>
      <c r="IG51">
        <f t="shared" si="42"/>
        <v>563.0851947437302</v>
      </c>
      <c r="IH51">
        <f t="shared" si="42"/>
        <v>565.52299954572413</v>
      </c>
      <c r="II51">
        <f t="shared" si="42"/>
        <v>567.96094307792646</v>
      </c>
      <c r="IJ51">
        <f t="shared" si="42"/>
        <v>570.39902594634282</v>
      </c>
      <c r="IK51">
        <f t="shared" si="42"/>
        <v>572.83724875711619</v>
      </c>
      <c r="IL51">
        <f t="shared" si="42"/>
        <v>575.27561211652642</v>
      </c>
      <c r="IM51">
        <f t="shared" si="42"/>
        <v>577.71411663099275</v>
      </c>
      <c r="IN51">
        <f t="shared" si="42"/>
        <v>580.15276290707322</v>
      </c>
      <c r="IO51">
        <f t="shared" si="42"/>
        <v>582.59155155146482</v>
      </c>
      <c r="IP51">
        <f t="shared" si="43"/>
        <v>585.03048317100593</v>
      </c>
      <c r="IQ51">
        <f t="shared" si="43"/>
        <v>587.46955837267478</v>
      </c>
      <c r="IR51">
        <f t="shared" si="43"/>
        <v>589.90877776359116</v>
      </c>
      <c r="IS51">
        <f t="shared" si="43"/>
        <v>592.34814195101762</v>
      </c>
      <c r="IT51">
        <f t="shared" si="43"/>
        <v>594.78765154235862</v>
      </c>
      <c r="IU51">
        <f t="shared" si="43"/>
        <v>597.22730714516229</v>
      </c>
      <c r="IV51">
        <f t="shared" si="43"/>
        <v>599.66710936712093</v>
      </c>
      <c r="IW51">
        <f t="shared" si="43"/>
        <v>602.10705881607055</v>
      </c>
      <c r="IX51">
        <f t="shared" si="43"/>
        <v>604.547156099993</v>
      </c>
      <c r="IY51">
        <f t="shared" si="43"/>
        <v>606.98740182701545</v>
      </c>
      <c r="IZ51">
        <f t="shared" si="44"/>
        <v>609.42779660541157</v>
      </c>
      <c r="JA51">
        <f t="shared" si="44"/>
        <v>611.86834104360219</v>
      </c>
      <c r="JB51">
        <f t="shared" si="44"/>
        <v>614.30903575015532</v>
      </c>
      <c r="JC51">
        <f t="shared" si="44"/>
        <v>616.74988133378758</v>
      </c>
      <c r="JD51">
        <f t="shared" si="44"/>
        <v>619.19087840336385</v>
      </c>
      <c r="JE51">
        <f t="shared" si="44"/>
        <v>621.63202756789894</v>
      </c>
      <c r="JF51">
        <f t="shared" si="44"/>
        <v>624.07332943655729</v>
      </c>
      <c r="JG51">
        <f t="shared" si="44"/>
        <v>626.51478461865463</v>
      </c>
      <c r="JH51">
        <f t="shared" si="44"/>
        <v>628.9563937236569</v>
      </c>
      <c r="JI51">
        <f t="shared" si="44"/>
        <v>631.39815736118317</v>
      </c>
      <c r="JJ51">
        <f t="shared" si="45"/>
        <v>633.84007614100358</v>
      </c>
      <c r="JK51">
        <f t="shared" si="45"/>
        <v>636.28215067304291</v>
      </c>
      <c r="JL51">
        <f t="shared" si="45"/>
        <v>638.72438156737826</v>
      </c>
      <c r="JM51">
        <f t="shared" si="45"/>
        <v>641.16676943424204</v>
      </c>
      <c r="JN51">
        <f t="shared" si="45"/>
        <v>643.60931488402161</v>
      </c>
      <c r="JO51">
        <f t="shared" si="45"/>
        <v>646.05201852725895</v>
      </c>
      <c r="JP51">
        <f t="shared" si="45"/>
        <v>648.49488097465303</v>
      </c>
      <c r="JQ51">
        <f t="shared" si="45"/>
        <v>650.93790283705994</v>
      </c>
      <c r="JR51">
        <f t="shared" si="45"/>
        <v>653.38108472549209</v>
      </c>
      <c r="JS51">
        <f t="shared" si="45"/>
        <v>655.82442725112094</v>
      </c>
      <c r="JT51">
        <f t="shared" si="46"/>
        <v>658.26793102527631</v>
      </c>
      <c r="JU51">
        <f t="shared" si="46"/>
        <v>660.71159665944697</v>
      </c>
      <c r="JV51">
        <f t="shared" si="46"/>
        <v>663.15542476528208</v>
      </c>
      <c r="JW51">
        <f t="shared" si="46"/>
        <v>665.59941595459122</v>
      </c>
      <c r="JX51">
        <f t="shared" si="46"/>
        <v>668.04357083934497</v>
      </c>
      <c r="JY51">
        <f t="shared" si="46"/>
        <v>670.48789003167553</v>
      </c>
      <c r="JZ51">
        <f t="shared" si="46"/>
        <v>672.93237414387795</v>
      </c>
      <c r="KA51">
        <f t="shared" si="46"/>
        <v>675.37702378841004</v>
      </c>
      <c r="KB51">
        <f t="shared" si="46"/>
        <v>677.82183957789312</v>
      </c>
      <c r="KC51">
        <f t="shared" si="46"/>
        <v>680.26682212511287</v>
      </c>
      <c r="KD51">
        <f t="shared" si="47"/>
        <v>682.71197204301995</v>
      </c>
      <c r="KE51">
        <f t="shared" si="47"/>
        <v>685.15728994473045</v>
      </c>
      <c r="KF51">
        <f t="shared" si="47"/>
        <v>687.60277644352675</v>
      </c>
      <c r="KG51">
        <f t="shared" si="47"/>
        <v>690.04843215285734</v>
      </c>
      <c r="KH51">
        <f t="shared" si="47"/>
        <v>692.4942576863391</v>
      </c>
      <c r="KI51">
        <f t="shared" si="47"/>
        <v>694.94025365775587</v>
      </c>
      <c r="KJ51">
        <f t="shared" si="47"/>
        <v>697.38642068106105</v>
      </c>
      <c r="KK51">
        <f t="shared" si="47"/>
        <v>699.83275937037638</v>
      </c>
      <c r="KL51">
        <f t="shared" si="47"/>
        <v>702.27927033999435</v>
      </c>
      <c r="KM51">
        <f t="shared" si="47"/>
        <v>704.72595420437744</v>
      </c>
      <c r="KN51">
        <f t="shared" si="48"/>
        <v>707.17281157815898</v>
      </c>
      <c r="KO51">
        <f t="shared" si="48"/>
        <v>709.61984307614478</v>
      </c>
      <c r="KP51">
        <f t="shared" si="48"/>
        <v>712.06704931331251</v>
      </c>
      <c r="KQ51">
        <f t="shared" si="48"/>
        <v>714.51443090481303</v>
      </c>
      <c r="KR51">
        <f t="shared" si="48"/>
        <v>716.96198846597088</v>
      </c>
      <c r="KS51">
        <f t="shared" si="48"/>
        <v>719.40972261228455</v>
      </c>
      <c r="KT51">
        <f t="shared" si="48"/>
        <v>721.85763395942763</v>
      </c>
      <c r="KU51">
        <f t="shared" si="48"/>
        <v>724.30572312324966</v>
      </c>
      <c r="KV51">
        <f t="shared" si="48"/>
        <v>726.75399071977563</v>
      </c>
      <c r="KW51">
        <f t="shared" si="48"/>
        <v>729.20243736520786</v>
      </c>
      <c r="KX51">
        <f t="shared" si="49"/>
        <v>731.65106367592512</v>
      </c>
      <c r="KY51">
        <f t="shared" si="49"/>
        <v>734.09987026848512</v>
      </c>
      <c r="KZ51">
        <f t="shared" si="49"/>
        <v>736.54885775962452</v>
      </c>
      <c r="LA51">
        <f t="shared" si="49"/>
        <v>738.99802676625814</v>
      </c>
      <c r="LB51">
        <f t="shared" si="49"/>
        <v>741.44737790548174</v>
      </c>
      <c r="LC51">
        <f t="shared" si="49"/>
        <v>743.89691179457122</v>
      </c>
      <c r="LD51">
        <f t="shared" si="49"/>
        <v>746.34662905098367</v>
      </c>
      <c r="LE51">
        <f t="shared" si="49"/>
        <v>748.79653029235794</v>
      </c>
      <c r="LF51">
        <f t="shared" si="49"/>
        <v>751.24661613651563</v>
      </c>
      <c r="LG51">
        <f t="shared" si="49"/>
        <v>753.69688720146087</v>
      </c>
      <c r="LH51">
        <f t="shared" si="50"/>
        <v>756.14734410538222</v>
      </c>
      <c r="LI51">
        <f t="shared" si="50"/>
        <v>758.59798746665228</v>
      </c>
      <c r="LJ51">
        <f t="shared" si="50"/>
        <v>761.04881790382831</v>
      </c>
      <c r="LK51">
        <f t="shared" si="50"/>
        <v>763.49983603565374</v>
      </c>
      <c r="LL51">
        <f t="shared" si="50"/>
        <v>765.95104248105781</v>
      </c>
      <c r="LM51">
        <f t="shared" si="50"/>
        <v>768.40243785915732</v>
      </c>
      <c r="LN51">
        <f t="shared" si="50"/>
        <v>770.85402278925574</v>
      </c>
      <c r="LO51">
        <f t="shared" si="50"/>
        <v>773.30579789084538</v>
      </c>
      <c r="LP51">
        <f t="shared" si="50"/>
        <v>775.75776378360706</v>
      </c>
      <c r="LQ51">
        <f t="shared" si="50"/>
        <v>778.20992108741098</v>
      </c>
      <c r="LR51">
        <f t="shared" si="51"/>
        <v>780.66227042231753</v>
      </c>
      <c r="LS51">
        <f t="shared" si="51"/>
        <v>783.11481240857802</v>
      </c>
      <c r="LT51">
        <f t="shared" si="51"/>
        <v>785.56754766663471</v>
      </c>
      <c r="LU51">
        <f t="shared" si="51"/>
        <v>788.02047681712236</v>
      </c>
      <c r="LV51">
        <f t="shared" si="51"/>
        <v>790.47360048086784</v>
      </c>
      <c r="LW51">
        <f t="shared" si="51"/>
        <v>792.92691927889155</v>
      </c>
      <c r="LX51">
        <f t="shared" si="51"/>
        <v>795.38043383240802</v>
      </c>
      <c r="LY51">
        <f t="shared" si="51"/>
        <v>797.83414476282553</v>
      </c>
      <c r="LZ51">
        <f t="shared" si="51"/>
        <v>800.28805269174893</v>
      </c>
      <c r="MA51">
        <f t="shared" si="51"/>
        <v>802.74215824097757</v>
      </c>
      <c r="MB51">
        <f t="shared" si="52"/>
        <v>805.19646203250784</v>
      </c>
      <c r="MC51">
        <f t="shared" si="52"/>
        <v>807.65096468853335</v>
      </c>
      <c r="MD51">
        <f t="shared" si="52"/>
        <v>810.10566683144566</v>
      </c>
      <c r="ME51">
        <f t="shared" si="52"/>
        <v>812.56056908383403</v>
      </c>
      <c r="MF51">
        <f t="shared" si="52"/>
        <v>815.01567206848733</v>
      </c>
      <c r="MG51">
        <f t="shared" si="52"/>
        <v>817.47097640839399</v>
      </c>
      <c r="MH51">
        <f t="shared" si="52"/>
        <v>819.92648272674273</v>
      </c>
      <c r="MI51">
        <f t="shared" si="52"/>
        <v>822.38219164692327</v>
      </c>
      <c r="MJ51">
        <f t="shared" si="52"/>
        <v>824.83810379252702</v>
      </c>
      <c r="MK51">
        <f t="shared" si="52"/>
        <v>827.2942197873474</v>
      </c>
      <c r="ML51">
        <f t="shared" si="53"/>
        <v>829.75054025538134</v>
      </c>
      <c r="MM51">
        <f t="shared" si="53"/>
        <v>832.20706582082857</v>
      </c>
      <c r="MN51">
        <f t="shared" si="53"/>
        <v>834.66379710809406</v>
      </c>
      <c r="MO51">
        <f t="shared" si="53"/>
        <v>837.12073474178624</v>
      </c>
      <c r="MP51">
        <f t="shared" si="53"/>
        <v>839.57787934672047</v>
      </c>
      <c r="MQ51">
        <f t="shared" si="53"/>
        <v>842.03523154791719</v>
      </c>
      <c r="MR51">
        <f t="shared" si="53"/>
        <v>844.49279197060446</v>
      </c>
      <c r="MS51">
        <f t="shared" si="53"/>
        <v>846.95056124021687</v>
      </c>
      <c r="MT51">
        <f t="shared" si="53"/>
        <v>849.40853998239822</v>
      </c>
      <c r="MU51">
        <f t="shared" si="53"/>
        <v>851.86672882300013</v>
      </c>
      <c r="MV51">
        <f t="shared" si="54"/>
        <v>854.32512838808384</v>
      </c>
      <c r="MW51">
        <f t="shared" si="54"/>
        <v>856.78373930392127</v>
      </c>
      <c r="MX51">
        <f t="shared" si="54"/>
        <v>859.24256219699419</v>
      </c>
      <c r="MY51">
        <f t="shared" si="54"/>
        <v>861.70159769399629</v>
      </c>
      <c r="MZ51">
        <f t="shared" si="54"/>
        <v>864.16084642183307</v>
      </c>
      <c r="NA51">
        <f t="shared" si="54"/>
        <v>866.62030900762284</v>
      </c>
      <c r="NB51">
        <f t="shared" si="54"/>
        <v>869.07998607869672</v>
      </c>
      <c r="NC51">
        <f t="shared" si="54"/>
        <v>871.53987826260038</v>
      </c>
      <c r="ND51">
        <f t="shared" si="54"/>
        <v>873.99998618709378</v>
      </c>
      <c r="NE51">
        <f t="shared" si="54"/>
        <v>876.46031048015254</v>
      </c>
      <c r="NF51">
        <f t="shared" si="55"/>
        <v>878.92085176996761</v>
      </c>
      <c r="NG51">
        <f t="shared" si="55"/>
        <v>881.38161068494742</v>
      </c>
      <c r="NH51">
        <f t="shared" si="55"/>
        <v>883.84258785371651</v>
      </c>
      <c r="NI51">
        <f t="shared" si="55"/>
        <v>886.30378390511828</v>
      </c>
      <c r="NJ51">
        <f t="shared" si="55"/>
        <v>888.76519946821372</v>
      </c>
      <c r="NK51">
        <f t="shared" si="55"/>
        <v>891.22683517228427</v>
      </c>
      <c r="NL51">
        <f t="shared" si="55"/>
        <v>893.68869164683008</v>
      </c>
      <c r="NM51">
        <f t="shared" si="55"/>
        <v>896.15076952157301</v>
      </c>
      <c r="NN51">
        <f t="shared" si="55"/>
        <v>898.61306942645479</v>
      </c>
      <c r="NO51">
        <f t="shared" si="55"/>
        <v>901.07559199163995</v>
      </c>
      <c r="NP51">
        <f t="shared" si="56"/>
        <v>903.53833784751487</v>
      </c>
      <c r="NQ51">
        <f t="shared" si="56"/>
        <v>906.00130762468984</v>
      </c>
      <c r="NR51">
        <f t="shared" si="56"/>
        <v>908.46450195399825</v>
      </c>
      <c r="NS51">
        <f t="shared" si="56"/>
        <v>910.9279214664989</v>
      </c>
      <c r="NT51">
        <f t="shared" si="56"/>
        <v>913.39156679347411</v>
      </c>
      <c r="NU51">
        <f t="shared" si="56"/>
        <v>915.85543856643426</v>
      </c>
      <c r="NV51">
        <f t="shared" si="56"/>
        <v>918.31953741711402</v>
      </c>
      <c r="NW51">
        <f t="shared" si="56"/>
        <v>920.78386397747681</v>
      </c>
      <c r="NX51">
        <f t="shared" si="56"/>
        <v>923.24841887971252</v>
      </c>
      <c r="NY51">
        <f t="shared" si="56"/>
        <v>925.71320275624043</v>
      </c>
      <c r="NZ51">
        <f t="shared" si="57"/>
        <v>928.17821623970917</v>
      </c>
      <c r="OA51">
        <f t="shared" si="57"/>
        <v>930.6434599629963</v>
      </c>
      <c r="OB51">
        <f t="shared" si="57"/>
        <v>933.10893455921018</v>
      </c>
      <c r="OC51">
        <f t="shared" si="57"/>
        <v>935.5746406616903</v>
      </c>
      <c r="OD51">
        <f t="shared" si="57"/>
        <v>938.0405789040085</v>
      </c>
      <c r="OE51">
        <f t="shared" si="57"/>
        <v>940.50674991996789</v>
      </c>
      <c r="OF51">
        <f t="shared" si="57"/>
        <v>942.97315434360553</v>
      </c>
      <c r="OG51">
        <f t="shared" si="57"/>
        <v>945.43979280919234</v>
      </c>
      <c r="OH51">
        <f t="shared" si="57"/>
        <v>947.90666595123366</v>
      </c>
      <c r="OI51">
        <f t="shared" si="57"/>
        <v>950.37377440446903</v>
      </c>
      <c r="OJ51">
        <f t="shared" si="58"/>
        <v>952.84111880387536</v>
      </c>
      <c r="OK51">
        <f t="shared" si="58"/>
        <v>955.30869978466467</v>
      </c>
      <c r="OL51">
        <f t="shared" si="58"/>
        <v>957.7765179822868</v>
      </c>
      <c r="OM51">
        <f t="shared" si="58"/>
        <v>960.24457403242911</v>
      </c>
      <c r="ON51">
        <f t="shared" si="58"/>
        <v>962.71286857101791</v>
      </c>
      <c r="OO51">
        <f t="shared" si="58"/>
        <v>965.18140223421801</v>
      </c>
      <c r="OP51">
        <f t="shared" si="58"/>
        <v>967.65017565843459</v>
      </c>
      <c r="OQ51">
        <f t="shared" si="58"/>
        <v>970.11918948031303</v>
      </c>
      <c r="OR51">
        <f t="shared" si="58"/>
        <v>972.58844433673994</v>
      </c>
      <c r="OS51">
        <f t="shared" si="58"/>
        <v>975.05794086484389</v>
      </c>
      <c r="OT51">
        <f t="shared" si="59"/>
        <v>977.52767970199579</v>
      </c>
      <c r="OU51">
        <f t="shared" si="59"/>
        <v>979.99766148580943</v>
      </c>
      <c r="OV51">
        <f t="shared" si="59"/>
        <v>982.46788685414356</v>
      </c>
      <c r="OW51">
        <f t="shared" si="59"/>
        <v>984.93835644510045</v>
      </c>
      <c r="OX51">
        <f t="shared" si="59"/>
        <v>987.40907089702773</v>
      </c>
      <c r="OY51">
        <f t="shared" si="59"/>
        <v>989.88003084851948</v>
      </c>
      <c r="OZ51">
        <f t="shared" si="59"/>
        <v>992.35123693841604</v>
      </c>
      <c r="PA51">
        <f t="shared" si="59"/>
        <v>994.82268980580454</v>
      </c>
      <c r="PB51">
        <f t="shared" si="59"/>
        <v>997.29439009002101</v>
      </c>
      <c r="PC51">
        <f t="shared" si="59"/>
        <v>999.76633843064883</v>
      </c>
      <c r="PD51">
        <f t="shared" si="60"/>
        <v>1002.2385354675223</v>
      </c>
      <c r="PE51">
        <f t="shared" si="60"/>
        <v>1004.7109818407243</v>
      </c>
      <c r="PF51">
        <f t="shared" si="60"/>
        <v>1007.1836781905887</v>
      </c>
      <c r="PG51">
        <f t="shared" si="60"/>
        <v>1009.6566251577015</v>
      </c>
      <c r="PH51">
        <f t="shared" si="60"/>
        <v>1012.1298233828995</v>
      </c>
      <c r="PI51">
        <f t="shared" si="60"/>
        <v>1014.6032735072729</v>
      </c>
      <c r="PJ51">
        <f t="shared" si="60"/>
        <v>1017.0769761721649</v>
      </c>
      <c r="PK51">
        <f t="shared" si="60"/>
        <v>1019.5509320191738</v>
      </c>
      <c r="PL51">
        <f t="shared" si="60"/>
        <v>1022.0251416901514</v>
      </c>
      <c r="PM51">
        <f t="shared" si="60"/>
        <v>1024.4996058272054</v>
      </c>
      <c r="PN51">
        <f t="shared" si="61"/>
        <v>1026.9743250726999</v>
      </c>
      <c r="PO51">
        <f t="shared" si="61"/>
        <v>1029.4493000692555</v>
      </c>
      <c r="PP51">
        <f t="shared" si="61"/>
        <v>1031.9245314597501</v>
      </c>
      <c r="PQ51">
        <f t="shared" si="61"/>
        <v>1034.40001988732</v>
      </c>
      <c r="PR51">
        <f t="shared" si="61"/>
        <v>1036.8757659953612</v>
      </c>
      <c r="PS51">
        <f t="shared" si="61"/>
        <v>1039.3517704275268</v>
      </c>
      <c r="PT51">
        <f t="shared" si="61"/>
        <v>1041.8280338277339</v>
      </c>
      <c r="PU51">
        <f t="shared" si="61"/>
        <v>1044.3045568401567</v>
      </c>
      <c r="PV51">
        <f t="shared" si="61"/>
        <v>1046.781340109234</v>
      </c>
      <c r="PW51">
        <f t="shared" si="61"/>
        <v>1049.2583842796646</v>
      </c>
      <c r="PX51">
        <f t="shared" si="62"/>
        <v>1051.7356899964122</v>
      </c>
      <c r="PY51">
        <f t="shared" si="62"/>
        <v>1054.2132579047029</v>
      </c>
      <c r="PZ51">
        <f t="shared" si="62"/>
        <v>1056.691088650028</v>
      </c>
      <c r="QA51">
        <f t="shared" si="62"/>
        <v>1059.1691828781431</v>
      </c>
      <c r="QB51">
        <f t="shared" si="62"/>
        <v>1061.6475412350703</v>
      </c>
      <c r="QC51">
        <f t="shared" si="62"/>
        <v>1064.1261643670982</v>
      </c>
      <c r="QD51">
        <f t="shared" si="62"/>
        <v>1066.6050529207814</v>
      </c>
      <c r="QE51">
        <f t="shared" si="62"/>
        <v>1069.0842075429441</v>
      </c>
      <c r="QF51">
        <f t="shared" si="62"/>
        <v>1071.5636288806772</v>
      </c>
      <c r="QG51">
        <f t="shared" si="62"/>
        <v>1074.043317581343</v>
      </c>
      <c r="QH51">
        <f t="shared" si="63"/>
        <v>1076.5232742925712</v>
      </c>
      <c r="QI51">
        <f t="shared" si="63"/>
        <v>1079.0034996622649</v>
      </c>
      <c r="QJ51">
        <f t="shared" si="63"/>
        <v>1081.4839943385955</v>
      </c>
      <c r="QK51">
        <f t="shared" si="63"/>
        <v>1083.9647589700098</v>
      </c>
      <c r="QL51">
        <f t="shared" si="63"/>
        <v>1086.4457942052245</v>
      </c>
      <c r="QM51">
        <f t="shared" si="63"/>
        <v>1088.9271006932311</v>
      </c>
      <c r="QN51">
        <f t="shared" si="63"/>
        <v>1091.4086790832944</v>
      </c>
      <c r="QO51">
        <f t="shared" si="63"/>
        <v>1093.8905300249562</v>
      </c>
      <c r="QP51">
        <f t="shared" si="63"/>
        <v>1096.3726541680305</v>
      </c>
      <c r="QQ51">
        <f t="shared" si="63"/>
        <v>1098.8550521626098</v>
      </c>
      <c r="QR51">
        <f t="shared" si="64"/>
        <v>1101.337724659064</v>
      </c>
      <c r="QS51">
        <f t="shared" si="64"/>
        <v>1103.820672308038</v>
      </c>
      <c r="QT51">
        <f t="shared" si="64"/>
        <v>1106.3038957604585</v>
      </c>
      <c r="QU51">
        <f t="shared" si="64"/>
        <v>1108.787395667528</v>
      </c>
      <c r="QV51">
        <f t="shared" si="64"/>
        <v>1111.2711726807311</v>
      </c>
      <c r="QW51">
        <f t="shared" si="64"/>
        <v>1113.7552274518321</v>
      </c>
      <c r="QX51">
        <f t="shared" si="64"/>
        <v>1116.2395606328769</v>
      </c>
      <c r="QY51">
        <f t="shared" si="64"/>
        <v>1118.7241728761899</v>
      </c>
      <c r="QZ51">
        <f t="shared" si="64"/>
        <v>1121.2090648343838</v>
      </c>
      <c r="RA51">
        <f t="shared" si="64"/>
        <v>1123.6942371603509</v>
      </c>
      <c r="RB51">
        <f t="shared" si="65"/>
        <v>1126.1796905072697</v>
      </c>
      <c r="RC51">
        <f t="shared" si="65"/>
        <v>1128.6654255285985</v>
      </c>
      <c r="RD51">
        <f t="shared" si="65"/>
        <v>1131.151442878087</v>
      </c>
      <c r="RE51">
        <f t="shared" si="65"/>
        <v>1133.6377432097693</v>
      </c>
      <c r="RF51">
        <f t="shared" si="65"/>
        <v>1136.1243271779658</v>
      </c>
      <c r="RG51">
        <f t="shared" si="65"/>
        <v>1138.6111954372805</v>
      </c>
      <c r="RH51">
        <f t="shared" si="65"/>
        <v>1141.0983486426135</v>
      </c>
      <c r="RI51">
        <f t="shared" si="65"/>
        <v>1143.5857874491489</v>
      </c>
      <c r="RJ51">
        <f t="shared" si="65"/>
        <v>1146.0735125123615</v>
      </c>
      <c r="RK51">
        <f t="shared" si="65"/>
        <v>1148.5615244880141</v>
      </c>
      <c r="RL51">
        <f t="shared" si="66"/>
        <v>1151.0498240321663</v>
      </c>
      <c r="RM51">
        <f t="shared" si="66"/>
        <v>1153.5384118011641</v>
      </c>
      <c r="RN51">
        <f t="shared" si="66"/>
        <v>1156.0272884516507</v>
      </c>
      <c r="RO51">
        <f t="shared" si="66"/>
        <v>1158.5164546405556</v>
      </c>
      <c r="RP51">
        <f t="shared" si="66"/>
        <v>1161.0059110251109</v>
      </c>
      <c r="RQ51">
        <f t="shared" si="66"/>
        <v>1163.495658262837</v>
      </c>
      <c r="RR51">
        <f t="shared" si="66"/>
        <v>1165.9856970115538</v>
      </c>
      <c r="RS51">
        <f t="shared" si="66"/>
        <v>1168.4760279293728</v>
      </c>
      <c r="RT51">
        <f t="shared" si="66"/>
        <v>1170.9666516747068</v>
      </c>
      <c r="RU51">
        <f t="shared" si="66"/>
        <v>1173.4575689062663</v>
      </c>
      <c r="RV51">
        <f t="shared" si="67"/>
        <v>1175.9487802830545</v>
      </c>
      <c r="RW51">
        <f t="shared" si="67"/>
        <v>1178.4402864643789</v>
      </c>
      <c r="RX51">
        <f t="shared" si="67"/>
        <v>1180.9320881098449</v>
      </c>
      <c r="RY51">
        <f t="shared" si="67"/>
        <v>1183.4241858793612</v>
      </c>
      <c r="RZ51">
        <f t="shared" si="67"/>
        <v>1185.9165804331324</v>
      </c>
      <c r="SA51">
        <f t="shared" si="67"/>
        <v>1188.4092724316683</v>
      </c>
      <c r="SB51">
        <f t="shared" si="67"/>
        <v>1190.9022625357807</v>
      </c>
      <c r="SC51">
        <f t="shared" si="67"/>
        <v>1193.3955514065879</v>
      </c>
      <c r="SD51">
        <f t="shared" si="67"/>
        <v>1195.8891397055054</v>
      </c>
      <c r="SE51">
        <f t="shared" si="67"/>
        <v>1198.3830280942595</v>
      </c>
      <c r="SF51">
        <f t="shared" si="68"/>
        <v>1200.8772172348786</v>
      </c>
      <c r="SG51">
        <f t="shared" si="68"/>
        <v>1203.3717077897024</v>
      </c>
      <c r="SH51">
        <f t="shared" si="68"/>
        <v>1205.8665004213703</v>
      </c>
      <c r="SI51">
        <f t="shared" si="68"/>
        <v>1208.3615957928346</v>
      </c>
      <c r="SJ51">
        <f t="shared" si="68"/>
        <v>1210.8569945673535</v>
      </c>
      <c r="SK51">
        <f t="shared" si="68"/>
        <v>1213.3526974084991</v>
      </c>
      <c r="SL51">
        <f t="shared" si="68"/>
        <v>1215.8487049801461</v>
      </c>
      <c r="SM51">
        <f t="shared" si="68"/>
        <v>1218.3450179464851</v>
      </c>
      <c r="SN51">
        <f t="shared" si="68"/>
        <v>1220.8416369720155</v>
      </c>
      <c r="SO51">
        <f t="shared" si="68"/>
        <v>1223.3385627215528</v>
      </c>
      <c r="SP51">
        <f t="shared" si="69"/>
        <v>1225.8357958602207</v>
      </c>
      <c r="SQ51">
        <f t="shared" si="69"/>
        <v>1228.3333370534592</v>
      </c>
      <c r="SR51">
        <f t="shared" si="69"/>
        <v>1230.8311869670217</v>
      </c>
      <c r="SS51">
        <f t="shared" si="69"/>
        <v>1233.329346266976</v>
      </c>
      <c r="ST51">
        <f t="shared" si="69"/>
        <v>1235.8278156197075</v>
      </c>
      <c r="SU51">
        <f t="shared" si="69"/>
        <v>1238.3265956919172</v>
      </c>
      <c r="SV51">
        <f t="shared" si="69"/>
        <v>1240.825687150623</v>
      </c>
      <c r="SW51">
        <f t="shared" si="69"/>
        <v>1243.3250906631615</v>
      </c>
      <c r="SX51">
        <f t="shared" si="69"/>
        <v>1245.8248068971875</v>
      </c>
      <c r="SY51">
        <f t="shared" si="69"/>
        <v>1248.3248365206764</v>
      </c>
      <c r="SZ51">
        <f t="shared" si="70"/>
        <v>1250.8251802019222</v>
      </c>
      <c r="TA51">
        <f t="shared" si="70"/>
        <v>1253.3258386095417</v>
      </c>
      <c r="TB51">
        <f t="shared" si="70"/>
        <v>1255.826812412472</v>
      </c>
      <c r="TC51">
        <f t="shared" si="70"/>
        <v>1258.3281022799733</v>
      </c>
      <c r="TD51">
        <f t="shared" si="70"/>
        <v>1260.8297088816294</v>
      </c>
      <c r="TE51">
        <f t="shared" si="70"/>
        <v>1263.3316328873475</v>
      </c>
      <c r="TF51">
        <f t="shared" si="70"/>
        <v>1265.8338749673592</v>
      </c>
      <c r="TG51">
        <f t="shared" si="70"/>
        <v>1268.3364357922228</v>
      </c>
      <c r="TH51">
        <f t="shared" si="70"/>
        <v>1270.8393160328214</v>
      </c>
      <c r="TI51">
        <f t="shared" si="70"/>
        <v>1273.3425163603667</v>
      </c>
      <c r="TJ51">
        <f t="shared" si="71"/>
        <v>1275.8460374463962</v>
      </c>
      <c r="TK51">
        <f t="shared" si="71"/>
        <v>1278.3498799627771</v>
      </c>
      <c r="TL51">
        <f t="shared" si="71"/>
        <v>1280.8540445817061</v>
      </c>
      <c r="TM51">
        <f t="shared" si="71"/>
        <v>1283.3585319757085</v>
      </c>
      <c r="TN51">
        <f t="shared" si="71"/>
        <v>1285.8633428176415</v>
      </c>
      <c r="TO51">
        <f t="shared" si="71"/>
        <v>1288.3684777806936</v>
      </c>
      <c r="TP51">
        <f t="shared" si="71"/>
        <v>1290.8739375383855</v>
      </c>
      <c r="TQ51">
        <f t="shared" si="71"/>
        <v>1293.37972276457</v>
      </c>
      <c r="TR51">
        <f t="shared" si="71"/>
        <v>1295.8858341334349</v>
      </c>
      <c r="TS51">
        <f t="shared" si="71"/>
        <v>1298.3922723195014</v>
      </c>
      <c r="TT51">
        <f t="shared" si="72"/>
        <v>1300.8990379976278</v>
      </c>
      <c r="TU51">
        <f t="shared" si="72"/>
        <v>1303.4061318430054</v>
      </c>
      <c r="TV51">
        <f t="shared" si="72"/>
        <v>1305.9135545311653</v>
      </c>
      <c r="TW51">
        <f t="shared" si="72"/>
        <v>1308.421306737974</v>
      </c>
      <c r="TX51">
        <f t="shared" si="72"/>
        <v>1310.9293891396371</v>
      </c>
      <c r="TY51">
        <f t="shared" si="72"/>
        <v>1313.4378024126993</v>
      </c>
      <c r="TZ51">
        <f t="shared" si="72"/>
        <v>1315.9465472340448</v>
      </c>
      <c r="UA51">
        <f t="shared" si="72"/>
        <v>1318.455624280899</v>
      </c>
      <c r="UB51">
        <f t="shared" si="72"/>
        <v>1320.9650342308273</v>
      </c>
      <c r="UC51">
        <f t="shared" si="72"/>
        <v>1323.4747777617399</v>
      </c>
      <c r="UD51">
        <f t="shared" si="73"/>
        <v>1325.9848555518859</v>
      </c>
      <c r="UE51">
        <f t="shared" si="73"/>
        <v>1328.4952682798607</v>
      </c>
      <c r="UF51">
        <f t="shared" si="73"/>
        <v>1331.0060166246042</v>
      </c>
      <c r="UG51">
        <f t="shared" si="73"/>
        <v>1333.5171012654</v>
      </c>
      <c r="UH51">
        <f t="shared" si="73"/>
        <v>1336.0285228818784</v>
      </c>
      <c r="UI51">
        <f t="shared" si="73"/>
        <v>1338.5402821540169</v>
      </c>
      <c r="UJ51">
        <f t="shared" si="73"/>
        <v>1341.0523797621388</v>
      </c>
      <c r="UK51">
        <f t="shared" si="73"/>
        <v>1343.564816386918</v>
      </c>
      <c r="UL51">
        <f t="shared" si="73"/>
        <v>1346.077592709375</v>
      </c>
      <c r="UM51">
        <f t="shared" si="73"/>
        <v>1348.590709410882</v>
      </c>
      <c r="UN51">
        <f t="shared" si="74"/>
        <v>1351.1041671731598</v>
      </c>
      <c r="UO51">
        <f t="shared" si="74"/>
        <v>1353.6179666782823</v>
      </c>
      <c r="UP51">
        <f t="shared" si="74"/>
        <v>1356.1321086086746</v>
      </c>
      <c r="UQ51">
        <f t="shared" si="74"/>
        <v>1358.646593647115</v>
      </c>
      <c r="UR51">
        <f t="shared" si="74"/>
        <v>1361.1614224767345</v>
      </c>
      <c r="US51">
        <f t="shared" si="74"/>
        <v>1363.6765957810198</v>
      </c>
      <c r="UT51">
        <f t="shared" si="74"/>
        <v>1366.1921142438123</v>
      </c>
      <c r="UU51">
        <f t="shared" si="74"/>
        <v>1368.7079785493083</v>
      </c>
      <c r="UV51">
        <f t="shared" si="74"/>
        <v>1371.2241893820624</v>
      </c>
      <c r="UW51">
        <f t="shared" si="74"/>
        <v>1373.740747426986</v>
      </c>
      <c r="UX51">
        <f t="shared" si="75"/>
        <v>1376.2576533693491</v>
      </c>
      <c r="UY51">
        <f t="shared" si="75"/>
        <v>1378.7749078947797</v>
      </c>
      <c r="UZ51">
        <f t="shared" si="75"/>
        <v>1381.292511689267</v>
      </c>
      <c r="VA51">
        <f t="shared" si="75"/>
        <v>1383.8104654391605</v>
      </c>
      <c r="VB51">
        <f t="shared" si="75"/>
        <v>1386.3287698311706</v>
      </c>
      <c r="VC51">
        <f t="shared" si="75"/>
        <v>1388.8474255523697</v>
      </c>
      <c r="VD51">
        <f t="shared" si="75"/>
        <v>1391.3664332901947</v>
      </c>
      <c r="VE51">
        <f t="shared" si="75"/>
        <v>1393.885793732444</v>
      </c>
      <c r="VF51">
        <f t="shared" si="75"/>
        <v>1396.4055075672827</v>
      </c>
      <c r="VG51">
        <f t="shared" si="75"/>
        <v>1398.9255754832402</v>
      </c>
      <c r="VH51">
        <f t="shared" si="76"/>
        <v>1401.4459981692116</v>
      </c>
      <c r="VI51">
        <f t="shared" si="76"/>
        <v>1403.9667763144598</v>
      </c>
      <c r="VJ51">
        <f t="shared" si="76"/>
        <v>1406.487910608615</v>
      </c>
      <c r="VK51">
        <f t="shared" si="76"/>
        <v>1409.0094017416757</v>
      </c>
      <c r="VL51">
        <f t="shared" si="76"/>
        <v>1411.5312504040105</v>
      </c>
      <c r="VM51">
        <f t="shared" si="76"/>
        <v>1414.0534572863569</v>
      </c>
      <c r="VN51">
        <f t="shared" si="76"/>
        <v>1416.5760230798242</v>
      </c>
      <c r="VO51">
        <f t="shared" si="76"/>
        <v>1419.0989484758929</v>
      </c>
      <c r="VP51">
        <f t="shared" si="76"/>
        <v>1421.6222341664156</v>
      </c>
      <c r="VQ51">
        <f t="shared" si="76"/>
        <v>1424.1458808436194</v>
      </c>
      <c r="VR51">
        <f t="shared" si="77"/>
        <v>1426.6698892001041</v>
      </c>
      <c r="VS51">
        <f t="shared" si="77"/>
        <v>1429.194259928845</v>
      </c>
      <c r="VT51">
        <f t="shared" si="77"/>
        <v>1431.7189937231929</v>
      </c>
      <c r="VU51">
        <f t="shared" si="77"/>
        <v>1434.2440912768752</v>
      </c>
      <c r="VV51">
        <f t="shared" si="77"/>
        <v>1436.7695532839964</v>
      </c>
      <c r="VW51">
        <f t="shared" si="77"/>
        <v>1439.295380439039</v>
      </c>
      <c r="VX51">
        <f t="shared" si="77"/>
        <v>1441.8215734368639</v>
      </c>
      <c r="VY51">
        <f t="shared" si="77"/>
        <v>1444.3481329727128</v>
      </c>
      <c r="VZ51">
        <f t="shared" si="77"/>
        <v>1446.8750597422063</v>
      </c>
      <c r="WA51">
        <f t="shared" si="77"/>
        <v>1449.4023544413483</v>
      </c>
      <c r="WB51">
        <f t="shared" si="78"/>
        <v>1451.9300177665227</v>
      </c>
      <c r="WC51">
        <f t="shared" si="78"/>
        <v>1454.4580504144969</v>
      </c>
      <c r="WD51">
        <f t="shared" si="78"/>
        <v>1456.9864530824225</v>
      </c>
      <c r="WE51">
        <f t="shared" si="78"/>
        <v>1459.5152264678354</v>
      </c>
      <c r="WF51">
        <f t="shared" si="78"/>
        <v>1462.0443712686561</v>
      </c>
      <c r="WG51">
        <f t="shared" si="78"/>
        <v>1464.5738881831912</v>
      </c>
      <c r="WH51">
        <f t="shared" si="78"/>
        <v>1467.1037779101359</v>
      </c>
      <c r="WI51">
        <f t="shared" si="78"/>
        <v>1469.6340411485712</v>
      </c>
      <c r="WJ51">
        <f t="shared" si="78"/>
        <v>1472.1646785979669</v>
      </c>
      <c r="WK51">
        <f t="shared" si="78"/>
        <v>1474.6956909581831</v>
      </c>
      <c r="WL51">
        <f t="shared" si="79"/>
        <v>1477.2270789294691</v>
      </c>
      <c r="WM51">
        <f t="shared" si="79"/>
        <v>1479.7588432124653</v>
      </c>
      <c r="WN51">
        <f t="shared" si="79"/>
        <v>1482.2909845082045</v>
      </c>
    </row>
    <row r="52" spans="2:612" x14ac:dyDescent="0.25">
      <c r="B52">
        <v>5</v>
      </c>
      <c r="C52">
        <f>0.125/2</f>
        <v>6.25E-2</v>
      </c>
      <c r="D52">
        <v>1.1499999999999999</v>
      </c>
    </row>
    <row r="53" spans="2:612" x14ac:dyDescent="0.25">
      <c r="B53">
        <v>6</v>
      </c>
      <c r="C53">
        <f>0.8-C52</f>
        <v>0.73750000000000004</v>
      </c>
      <c r="D53">
        <v>1.1499999999999999</v>
      </c>
      <c r="J53">
        <f>(($C52+0.4)*TAN(RADIANS(J$47))*$D53*0.8*1000*9.8*$C53)+((0.8*TAN(RADIANS(J$47)))*0.8/2*$D53*1000*9.8)*($C53+0.8/6)</f>
        <v>2.1697496355297528</v>
      </c>
      <c r="K53">
        <f t="shared" ref="K53:BV56" si="80">(($C52+0.4)*TAN(RADIANS(K$47))*$D53*0.8*1000*9.8*$C53)+((0.8*TAN(RADIANS(K$47)))*0.8/2*$D53*1000*9.8)*($C53+0.8/6)</f>
        <v>4.3394997998144405</v>
      </c>
      <c r="L53">
        <f t="shared" si="80"/>
        <v>6.5092510216095132</v>
      </c>
      <c r="M53">
        <f t="shared" si="80"/>
        <v>8.6790038296714584</v>
      </c>
      <c r="N53">
        <f t="shared" si="80"/>
        <v>10.848758752758302</v>
      </c>
      <c r="O53">
        <f t="shared" si="80"/>
        <v>13.01851631963013</v>
      </c>
      <c r="P53">
        <f t="shared" si="80"/>
        <v>15.188277059049613</v>
      </c>
      <c r="Q53">
        <f t="shared" si="80"/>
        <v>17.358041499782512</v>
      </c>
      <c r="R53">
        <f t="shared" si="80"/>
        <v>19.527810170598187</v>
      </c>
      <c r="S53">
        <f t="shared" si="80"/>
        <v>21.697583600270143</v>
      </c>
      <c r="T53">
        <f t="shared" si="80"/>
        <v>23.8673623175765</v>
      </c>
      <c r="U53">
        <f t="shared" si="80"/>
        <v>26.037146851300548</v>
      </c>
      <c r="V53">
        <f t="shared" si="80"/>
        <v>28.206937730231232</v>
      </c>
      <c r="W53">
        <f t="shared" si="80"/>
        <v>30.376735483163699</v>
      </c>
      <c r="X53">
        <f t="shared" si="80"/>
        <v>32.546540638899785</v>
      </c>
      <c r="Y53">
        <f t="shared" si="80"/>
        <v>34.716353726248549</v>
      </c>
      <c r="Z53">
        <f t="shared" si="80"/>
        <v>36.886175274026776</v>
      </c>
      <c r="AA53">
        <f t="shared" si="80"/>
        <v>39.056005811059507</v>
      </c>
      <c r="AB53">
        <f t="shared" si="80"/>
        <v>41.225845866180549</v>
      </c>
      <c r="AC53">
        <f t="shared" si="80"/>
        <v>43.395695968232971</v>
      </c>
      <c r="AD53">
        <f t="shared" si="80"/>
        <v>45.565556646069624</v>
      </c>
      <c r="AE53">
        <f t="shared" si="80"/>
        <v>47.735428428553718</v>
      </c>
      <c r="AF53">
        <f t="shared" si="80"/>
        <v>49.905311844559265</v>
      </c>
      <c r="AG53">
        <f t="shared" si="80"/>
        <v>52.075207422971559</v>
      </c>
      <c r="AH53">
        <f t="shared" si="80"/>
        <v>54.245115692687889</v>
      </c>
      <c r="AI53">
        <f t="shared" si="80"/>
        <v>56.415037182617773</v>
      </c>
      <c r="AJ53">
        <f t="shared" si="80"/>
        <v>58.58497242168368</v>
      </c>
      <c r="AK53">
        <f t="shared" si="80"/>
        <v>60.754921938821496</v>
      </c>
      <c r="AL53">
        <f t="shared" si="80"/>
        <v>62.924886262981005</v>
      </c>
      <c r="AM53">
        <f t="shared" si="80"/>
        <v>65.094865923126406</v>
      </c>
      <c r="AN53">
        <f t="shared" si="80"/>
        <v>67.264861448236928</v>
      </c>
      <c r="AO53">
        <f t="shared" si="80"/>
        <v>69.434873367307176</v>
      </c>
      <c r="AP53">
        <f t="shared" si="80"/>
        <v>71.604902209347784</v>
      </c>
      <c r="AQ53">
        <f t="shared" si="80"/>
        <v>73.7749485033859</v>
      </c>
      <c r="AR53">
        <f t="shared" si="80"/>
        <v>75.94501277846561</v>
      </c>
      <c r="AS53">
        <f t="shared" si="80"/>
        <v>78.115095563648637</v>
      </c>
      <c r="AT53">
        <f t="shared" si="80"/>
        <v>80.285197388014694</v>
      </c>
      <c r="AU53">
        <f t="shared" si="80"/>
        <v>82.455318780662068</v>
      </c>
      <c r="AV53">
        <f t="shared" si="80"/>
        <v>84.625460270708089</v>
      </c>
      <c r="AW53">
        <f t="shared" si="80"/>
        <v>86.79562238728974</v>
      </c>
      <c r="AX53">
        <f t="shared" si="80"/>
        <v>88.965805659564097</v>
      </c>
      <c r="AY53">
        <f t="shared" si="80"/>
        <v>91.13601061670883</v>
      </c>
      <c r="AZ53">
        <f t="shared" si="80"/>
        <v>93.306237787922782</v>
      </c>
      <c r="BA53">
        <f t="shared" si="80"/>
        <v>95.47648770242651</v>
      </c>
      <c r="BB53">
        <f t="shared" si="80"/>
        <v>97.646760889462627</v>
      </c>
      <c r="BC53">
        <f t="shared" si="80"/>
        <v>99.817057878296538</v>
      </c>
      <c r="BD53">
        <f t="shared" si="80"/>
        <v>101.98737919821681</v>
      </c>
      <c r="BE53">
        <f t="shared" si="80"/>
        <v>104.1577253785358</v>
      </c>
      <c r="BF53">
        <f t="shared" si="80"/>
        <v>106.32809694859002</v>
      </c>
      <c r="BG53">
        <f t="shared" si="80"/>
        <v>108.49849443774077</v>
      </c>
      <c r="BH53">
        <f t="shared" si="80"/>
        <v>110.66891837537467</v>
      </c>
      <c r="BI53">
        <f t="shared" si="80"/>
        <v>112.83936929090412</v>
      </c>
      <c r="BJ53">
        <f t="shared" si="80"/>
        <v>115.00984771376774</v>
      </c>
      <c r="BK53">
        <f t="shared" si="80"/>
        <v>117.18035417343114</v>
      </c>
      <c r="BL53">
        <f t="shared" si="80"/>
        <v>119.3508891993871</v>
      </c>
      <c r="BM53">
        <f t="shared" si="80"/>
        <v>121.5214533211564</v>
      </c>
      <c r="BN53">
        <f t="shared" si="80"/>
        <v>123.6920470682881</v>
      </c>
      <c r="BO53">
        <f t="shared" si="80"/>
        <v>125.86267097036026</v>
      </c>
      <c r="BP53">
        <f t="shared" si="80"/>
        <v>128.0333255569802</v>
      </c>
      <c r="BQ53">
        <f t="shared" si="80"/>
        <v>130.20401135778533</v>
      </c>
      <c r="BR53">
        <f t="shared" si="80"/>
        <v>132.37472890244342</v>
      </c>
      <c r="BS53">
        <f t="shared" si="80"/>
        <v>134.54547872065314</v>
      </c>
      <c r="BT53">
        <f t="shared" si="80"/>
        <v>136.71626134214483</v>
      </c>
      <c r="BU53">
        <f t="shared" si="80"/>
        <v>138.88707729668067</v>
      </c>
      <c r="BV53">
        <f t="shared" si="80"/>
        <v>141.05792711405536</v>
      </c>
      <c r="BW53">
        <f t="shared" ref="BW53:EH56" si="81">(($C52+0.4)*TAN(RADIANS(BW$47))*$D53*0.8*1000*9.8*$C53)+((0.8*TAN(RADIANS(BW$47)))*0.8/2*$D53*1000*9.8)*($C53+0.8/6)</f>
        <v>143.22881132409668</v>
      </c>
      <c r="BX53">
        <f t="shared" si="81"/>
        <v>145.39973045666605</v>
      </c>
      <c r="BY53">
        <f t="shared" si="81"/>
        <v>147.57068504165875</v>
      </c>
      <c r="BZ53">
        <f t="shared" si="81"/>
        <v>149.74167560900483</v>
      </c>
      <c r="CA53">
        <f t="shared" si="81"/>
        <v>151.91270268866936</v>
      </c>
      <c r="CB53">
        <f t="shared" si="81"/>
        <v>154.08376681065303</v>
      </c>
      <c r="CC53">
        <f t="shared" si="81"/>
        <v>156.25486850499269</v>
      </c>
      <c r="CD53">
        <f t="shared" si="81"/>
        <v>158.42600830176184</v>
      </c>
      <c r="CE53">
        <f t="shared" si="81"/>
        <v>160.59718673107125</v>
      </c>
      <c r="CF53">
        <f t="shared" si="81"/>
        <v>162.76840432306921</v>
      </c>
      <c r="CG53">
        <f t="shared" si="81"/>
        <v>164.93966160794224</v>
      </c>
      <c r="CH53">
        <f t="shared" si="81"/>
        <v>167.11095911591582</v>
      </c>
      <c r="CI53">
        <f t="shared" si="81"/>
        <v>169.28229737725445</v>
      </c>
      <c r="CJ53">
        <f t="shared" si="81"/>
        <v>171.45367692226245</v>
      </c>
      <c r="CK53">
        <f t="shared" si="81"/>
        <v>173.62509828128449</v>
      </c>
      <c r="CL53">
        <f t="shared" si="81"/>
        <v>175.79656198470599</v>
      </c>
      <c r="CM53">
        <f t="shared" si="81"/>
        <v>177.96806856295359</v>
      </c>
      <c r="CN53">
        <f t="shared" si="81"/>
        <v>180.13961854649614</v>
      </c>
      <c r="CO53">
        <f t="shared" si="81"/>
        <v>182.31121246584442</v>
      </c>
      <c r="CP53">
        <f t="shared" si="81"/>
        <v>184.48285085155231</v>
      </c>
      <c r="CQ53">
        <f t="shared" si="81"/>
        <v>186.65453423421707</v>
      </c>
      <c r="CR53">
        <f t="shared" si="81"/>
        <v>188.82626314447987</v>
      </c>
      <c r="CS53">
        <f t="shared" si="81"/>
        <v>190.99803811302633</v>
      </c>
      <c r="CT53">
        <f t="shared" si="81"/>
        <v>193.16985967058696</v>
      </c>
      <c r="CU53">
        <f t="shared" si="81"/>
        <v>195.34172834793785</v>
      </c>
      <c r="CV53">
        <f t="shared" si="81"/>
        <v>197.51364467590099</v>
      </c>
      <c r="CW53">
        <f t="shared" si="81"/>
        <v>199.68560918534502</v>
      </c>
      <c r="CX53">
        <f t="shared" si="81"/>
        <v>201.85762240718543</v>
      </c>
      <c r="CY53">
        <f t="shared" si="81"/>
        <v>204.02968487238542</v>
      </c>
      <c r="CZ53">
        <f t="shared" si="81"/>
        <v>206.2017971119563</v>
      </c>
      <c r="DA53">
        <f t="shared" si="81"/>
        <v>208.37395965695782</v>
      </c>
      <c r="DB53">
        <f t="shared" si="81"/>
        <v>210.54617303849886</v>
      </c>
      <c r="DC53">
        <f t="shared" si="81"/>
        <v>212.7184377877382</v>
      </c>
      <c r="DD53">
        <f t="shared" si="81"/>
        <v>214.89075443588433</v>
      </c>
      <c r="DE53">
        <f t="shared" si="81"/>
        <v>217.06312351419683</v>
      </c>
      <c r="DF53">
        <f t="shared" si="81"/>
        <v>219.23554555398624</v>
      </c>
      <c r="DG53">
        <f t="shared" si="81"/>
        <v>221.40802108661495</v>
      </c>
      <c r="DH53">
        <f t="shared" si="81"/>
        <v>223.58055064349759</v>
      </c>
      <c r="DI53">
        <f t="shared" si="81"/>
        <v>225.75313475610136</v>
      </c>
      <c r="DJ53">
        <f t="shared" si="81"/>
        <v>227.92577395594699</v>
      </c>
      <c r="DK53">
        <f t="shared" si="81"/>
        <v>230.09846877460888</v>
      </c>
      <c r="DL53">
        <f t="shared" si="81"/>
        <v>232.27121974371568</v>
      </c>
      <c r="DM53">
        <f t="shared" si="81"/>
        <v>234.44402739495118</v>
      </c>
      <c r="DN53">
        <f t="shared" si="81"/>
        <v>236.61689226005421</v>
      </c>
      <c r="DO53">
        <f t="shared" si="81"/>
        <v>238.78981487081967</v>
      </c>
      <c r="DP53">
        <f t="shared" si="81"/>
        <v>240.96279575909887</v>
      </c>
      <c r="DQ53">
        <f t="shared" si="81"/>
        <v>243.1358354567999</v>
      </c>
      <c r="DR53">
        <f t="shared" si="81"/>
        <v>245.30893449588848</v>
      </c>
      <c r="DS53">
        <f t="shared" si="81"/>
        <v>247.48209340838821</v>
      </c>
      <c r="DT53">
        <f t="shared" si="81"/>
        <v>249.65531272638145</v>
      </c>
      <c r="DU53">
        <f t="shared" si="81"/>
        <v>251.82859298200898</v>
      </c>
      <c r="DV53">
        <f t="shared" si="81"/>
        <v>254.00193470747178</v>
      </c>
      <c r="DW53">
        <f t="shared" si="81"/>
        <v>256.17533843503048</v>
      </c>
      <c r="DX53">
        <f t="shared" si="81"/>
        <v>258.34880469700647</v>
      </c>
      <c r="DY53">
        <f t="shared" si="81"/>
        <v>260.52233402578224</v>
      </c>
      <c r="DZ53">
        <f t="shared" si="81"/>
        <v>262.69592695380197</v>
      </c>
      <c r="EA53">
        <f t="shared" si="81"/>
        <v>264.86958401357174</v>
      </c>
      <c r="EB53">
        <f t="shared" si="81"/>
        <v>267.04330573766066</v>
      </c>
      <c r="EC53">
        <f t="shared" si="81"/>
        <v>269.21709265870072</v>
      </c>
      <c r="ED53">
        <f t="shared" si="81"/>
        <v>271.39094530938792</v>
      </c>
      <c r="EE53">
        <f t="shared" si="81"/>
        <v>273.56486422248236</v>
      </c>
      <c r="EF53">
        <f t="shared" si="81"/>
        <v>275.7388499308089</v>
      </c>
      <c r="EG53">
        <f t="shared" si="81"/>
        <v>277.91290296725782</v>
      </c>
      <c r="EH53">
        <f t="shared" si="81"/>
        <v>280.08702386478507</v>
      </c>
      <c r="EI53">
        <f t="shared" ref="EI53:GT56" si="82">(($C52+0.4)*TAN(RADIANS(EI$47))*$D53*0.8*1000*9.8*$C53)+((0.8*TAN(RADIANS(EI$47)))*0.8/2*$D53*1000*9.8)*($C53+0.8/6)</f>
        <v>282.26121315641308</v>
      </c>
      <c r="EJ53">
        <f t="shared" si="82"/>
        <v>284.43547137523103</v>
      </c>
      <c r="EK53">
        <f t="shared" si="82"/>
        <v>286.60979905439564</v>
      </c>
      <c r="EL53">
        <f t="shared" si="82"/>
        <v>288.78419672713153</v>
      </c>
      <c r="EM53">
        <f t="shared" si="82"/>
        <v>290.95866492673161</v>
      </c>
      <c r="EN53">
        <f t="shared" si="82"/>
        <v>293.1332041865578</v>
      </c>
      <c r="EO53">
        <f t="shared" si="82"/>
        <v>295.3078150400417</v>
      </c>
      <c r="EP53">
        <f t="shared" si="82"/>
        <v>297.48249802068472</v>
      </c>
      <c r="EQ53">
        <f t="shared" si="82"/>
        <v>299.65725366205896</v>
      </c>
      <c r="ER53">
        <f t="shared" si="82"/>
        <v>301.83208249780756</v>
      </c>
      <c r="ES53">
        <f t="shared" si="82"/>
        <v>304.0069850616452</v>
      </c>
      <c r="ET53">
        <f t="shared" si="82"/>
        <v>306.18196188735868</v>
      </c>
      <c r="EU53">
        <f t="shared" si="82"/>
        <v>308.35701350880743</v>
      </c>
      <c r="EV53">
        <f t="shared" si="82"/>
        <v>310.53214045992428</v>
      </c>
      <c r="EW53">
        <f t="shared" si="82"/>
        <v>312.70734327471547</v>
      </c>
      <c r="EX53">
        <f t="shared" si="82"/>
        <v>314.88262248726164</v>
      </c>
      <c r="EY53">
        <f t="shared" si="82"/>
        <v>317.05797863171802</v>
      </c>
      <c r="EZ53">
        <f t="shared" si="82"/>
        <v>319.23341224231535</v>
      </c>
      <c r="FA53">
        <f t="shared" si="82"/>
        <v>321.40892385335997</v>
      </c>
      <c r="FB53">
        <f t="shared" si="82"/>
        <v>323.58451399923467</v>
      </c>
      <c r="FC53">
        <f t="shared" si="82"/>
        <v>325.76018321439915</v>
      </c>
      <c r="FD53">
        <f t="shared" si="82"/>
        <v>327.93593203339026</v>
      </c>
      <c r="FE53">
        <f t="shared" si="82"/>
        <v>330.11176099082286</v>
      </c>
      <c r="FF53">
        <f t="shared" si="82"/>
        <v>332.28767062139065</v>
      </c>
      <c r="FG53">
        <f t="shared" si="82"/>
        <v>334.4636614598657</v>
      </c>
      <c r="FH53">
        <f t="shared" si="82"/>
        <v>336.63973404109993</v>
      </c>
      <c r="FI53">
        <f t="shared" si="82"/>
        <v>338.81588890002519</v>
      </c>
      <c r="FJ53">
        <f t="shared" si="82"/>
        <v>340.9921265716539</v>
      </c>
      <c r="FK53">
        <f t="shared" si="82"/>
        <v>343.16844759107954</v>
      </c>
      <c r="FL53">
        <f t="shared" si="82"/>
        <v>345.34485249347722</v>
      </c>
      <c r="FM53">
        <f t="shared" si="82"/>
        <v>347.52134181410429</v>
      </c>
      <c r="FN53">
        <f t="shared" si="82"/>
        <v>349.69791608830053</v>
      </c>
      <c r="FO53">
        <f t="shared" si="82"/>
        <v>351.87457585148917</v>
      </c>
      <c r="FP53">
        <f t="shared" si="82"/>
        <v>354.05132163917699</v>
      </c>
      <c r="FQ53">
        <f t="shared" si="82"/>
        <v>356.22815398695514</v>
      </c>
      <c r="FR53">
        <f t="shared" si="82"/>
        <v>358.4050734304995</v>
      </c>
      <c r="FS53">
        <f t="shared" si="82"/>
        <v>360.5820805055713</v>
      </c>
      <c r="FT53">
        <f t="shared" si="82"/>
        <v>362.75917574801758</v>
      </c>
      <c r="FU53">
        <f t="shared" si="82"/>
        <v>364.93635969377181</v>
      </c>
      <c r="FV53">
        <f t="shared" si="82"/>
        <v>367.11363287885433</v>
      </c>
      <c r="FW53">
        <f t="shared" si="82"/>
        <v>369.2909958393729</v>
      </c>
      <c r="FX53">
        <f t="shared" si="82"/>
        <v>371.46844911152334</v>
      </c>
      <c r="FY53">
        <f t="shared" si="82"/>
        <v>373.64599323158973</v>
      </c>
      <c r="FZ53">
        <f t="shared" si="82"/>
        <v>375.82362873594548</v>
      </c>
      <c r="GA53">
        <f t="shared" si="82"/>
        <v>378.00135616105359</v>
      </c>
      <c r="GB53">
        <f t="shared" si="82"/>
        <v>380.17917604346667</v>
      </c>
      <c r="GC53">
        <f t="shared" si="82"/>
        <v>382.35708891982847</v>
      </c>
      <c r="GD53">
        <f t="shared" si="82"/>
        <v>384.53509532687372</v>
      </c>
      <c r="GE53">
        <f t="shared" si="82"/>
        <v>386.7131958014287</v>
      </c>
      <c r="GF53">
        <f t="shared" si="82"/>
        <v>388.89139088041225</v>
      </c>
      <c r="GG53">
        <f t="shared" si="82"/>
        <v>391.06968110083562</v>
      </c>
      <c r="GH53">
        <f t="shared" si="82"/>
        <v>393.24806699980331</v>
      </c>
      <c r="GI53">
        <f t="shared" si="82"/>
        <v>395.42654911451422</v>
      </c>
      <c r="GJ53">
        <f t="shared" si="82"/>
        <v>397.60512798226102</v>
      </c>
      <c r="GK53">
        <f t="shared" si="82"/>
        <v>399.78380414043124</v>
      </c>
      <c r="GL53">
        <f t="shared" si="82"/>
        <v>401.96257812650816</v>
      </c>
      <c r="GM53">
        <f t="shared" si="82"/>
        <v>404.14145047807085</v>
      </c>
      <c r="GN53">
        <f t="shared" si="82"/>
        <v>406.32042173279513</v>
      </c>
      <c r="GO53">
        <f t="shared" si="82"/>
        <v>408.49949242845321</v>
      </c>
      <c r="GP53">
        <f t="shared" si="82"/>
        <v>410.67866310291549</v>
      </c>
      <c r="GQ53">
        <f t="shared" si="82"/>
        <v>412.8579342941502</v>
      </c>
      <c r="GR53">
        <f t="shared" si="82"/>
        <v>415.03730654022411</v>
      </c>
      <c r="GS53">
        <f t="shared" si="82"/>
        <v>417.21678037930332</v>
      </c>
      <c r="GT53">
        <f t="shared" si="82"/>
        <v>419.39635634965362</v>
      </c>
      <c r="GU53">
        <f t="shared" ref="GU53:HA57" si="83">(($C52+0.4)*TAN(RADIANS(GU$47))*$D53*0.8*1000*9.8*$C53)+((0.8*TAN(RADIANS(GU$47)))*0.8/2*$D53*1000*9.8)*($C53+0.8/6)</f>
        <v>421.57603498964079</v>
      </c>
      <c r="GV53">
        <f t="shared" si="83"/>
        <v>423.75581683773146</v>
      </c>
      <c r="GW53">
        <f t="shared" si="83"/>
        <v>425.93570243249405</v>
      </c>
      <c r="GX53">
        <f t="shared" si="83"/>
        <v>428.11569231259801</v>
      </c>
      <c r="GY53">
        <f t="shared" si="83"/>
        <v>430.29578701681578</v>
      </c>
      <c r="GZ53">
        <f t="shared" si="83"/>
        <v>432.47598708402228</v>
      </c>
      <c r="HA53">
        <f t="shared" si="83"/>
        <v>434.65629305319624</v>
      </c>
      <c r="HB53">
        <f t="shared" ref="HB53:HK57" si="84">(($C52+0.4)*TAN(RADIANS(HB$47))*$D53*0.8*1000*9.8*$C53)+((0.8*TAN(RADIANS(HB$47)))*0.8/2*$D53*1000*9.8)*($C53+0.8/6)</f>
        <v>436.83670546342</v>
      </c>
      <c r="HC53">
        <f t="shared" si="84"/>
        <v>439.01722485388098</v>
      </c>
      <c r="HD53">
        <f t="shared" si="84"/>
        <v>441.19785176387086</v>
      </c>
      <c r="HE53">
        <f t="shared" si="84"/>
        <v>443.37858673278788</v>
      </c>
      <c r="HF53">
        <f t="shared" si="84"/>
        <v>445.55943030013526</v>
      </c>
      <c r="HG53">
        <f t="shared" si="84"/>
        <v>447.74038300552411</v>
      </c>
      <c r="HH53">
        <f t="shared" si="84"/>
        <v>449.9214453886716</v>
      </c>
      <c r="HI53">
        <f t="shared" si="84"/>
        <v>452.1026179894036</v>
      </c>
      <c r="HJ53">
        <f t="shared" si="84"/>
        <v>454.2839013476534</v>
      </c>
      <c r="HK53">
        <f t="shared" si="84"/>
        <v>456.465296003464</v>
      </c>
      <c r="HL53">
        <f t="shared" ref="HL53:HU57" si="85">(($C52+0.4)*TAN(RADIANS(HL$47))*$D53*0.8*1000*9.8*$C53)+((0.8*TAN(RADIANS(HL$47)))*0.8/2*$D53*1000*9.8)*($C53+0.8/6)</f>
        <v>458.64680249698711</v>
      </c>
      <c r="HM53">
        <f t="shared" si="85"/>
        <v>460.82842136848456</v>
      </c>
      <c r="HN53">
        <f t="shared" si="85"/>
        <v>463.01015315832865</v>
      </c>
      <c r="HO53">
        <f t="shared" si="85"/>
        <v>465.19199840700253</v>
      </c>
      <c r="HP53">
        <f t="shared" si="85"/>
        <v>467.37395765510092</v>
      </c>
      <c r="HQ53">
        <f t="shared" si="85"/>
        <v>469.55603144333065</v>
      </c>
      <c r="HR53">
        <f t="shared" si="85"/>
        <v>471.7382203125112</v>
      </c>
      <c r="HS53">
        <f t="shared" si="85"/>
        <v>473.92052480357518</v>
      </c>
      <c r="HT53">
        <f t="shared" si="85"/>
        <v>476.10294545756858</v>
      </c>
      <c r="HU53">
        <f t="shared" si="85"/>
        <v>478.28548281565202</v>
      </c>
      <c r="HV53">
        <f t="shared" ref="HV53:IE57" si="86">(($C52+0.4)*TAN(RADIANS(HV$47))*$D53*0.8*1000*9.8*$C53)+((0.8*TAN(RADIANS(HV$47)))*0.8/2*$D53*1000*9.8)*($C53+0.8/6)</f>
        <v>480.46813741910046</v>
      </c>
      <c r="HW53">
        <f t="shared" si="86"/>
        <v>482.65090980930484</v>
      </c>
      <c r="HX53">
        <f t="shared" si="86"/>
        <v>484.83380052777102</v>
      </c>
      <c r="HY53">
        <f t="shared" si="86"/>
        <v>487.01681011612197</v>
      </c>
      <c r="HZ53">
        <f t="shared" si="86"/>
        <v>489.19993911609743</v>
      </c>
      <c r="IA53">
        <f t="shared" si="86"/>
        <v>491.38318806955431</v>
      </c>
      <c r="IB53">
        <f t="shared" si="86"/>
        <v>493.56655751846802</v>
      </c>
      <c r="IC53">
        <f t="shared" si="86"/>
        <v>495.75004800493195</v>
      </c>
      <c r="ID53">
        <f t="shared" si="86"/>
        <v>497.93366007115935</v>
      </c>
      <c r="IE53">
        <f t="shared" si="86"/>
        <v>500.11739425948224</v>
      </c>
      <c r="IF53">
        <f t="shared" ref="IF53:IO57" si="87">(($C52+0.4)*TAN(RADIANS(IF$47))*$D53*0.8*1000*9.8*$C53)+((0.8*TAN(RADIANS(IF$47)))*0.8/2*$D53*1000*9.8)*($C53+0.8/6)</f>
        <v>502.3012511123535</v>
      </c>
      <c r="IG53">
        <f t="shared" si="87"/>
        <v>504.4852311723464</v>
      </c>
      <c r="IH53">
        <f t="shared" si="87"/>
        <v>506.66933498215576</v>
      </c>
      <c r="II53">
        <f t="shared" si="87"/>
        <v>508.85356308459768</v>
      </c>
      <c r="IJ53">
        <f t="shared" si="87"/>
        <v>511.03791602261117</v>
      </c>
      <c r="IK53">
        <f t="shared" si="87"/>
        <v>513.22239433925813</v>
      </c>
      <c r="IL53">
        <f t="shared" si="87"/>
        <v>515.40699857772358</v>
      </c>
      <c r="IM53">
        <f t="shared" si="87"/>
        <v>517.5917292813167</v>
      </c>
      <c r="IN53">
        <f t="shared" si="87"/>
        <v>519.77658699347148</v>
      </c>
      <c r="IO53">
        <f t="shared" si="87"/>
        <v>521.96157225774641</v>
      </c>
      <c r="IP53">
        <f t="shared" ref="IP53:IY57" si="88">(($C52+0.4)*TAN(RADIANS(IP$47))*$D53*0.8*1000*9.8*$C53)+((0.8*TAN(RADIANS(IP$47)))*0.8/2*$D53*1000*9.8)*($C53+0.8/6)</f>
        <v>524.14668561782628</v>
      </c>
      <c r="IQ53">
        <f t="shared" si="88"/>
        <v>526.33192761752161</v>
      </c>
      <c r="IR53">
        <f t="shared" si="88"/>
        <v>528.51729880076959</v>
      </c>
      <c r="IS53">
        <f t="shared" si="88"/>
        <v>530.70279971163518</v>
      </c>
      <c r="IT53">
        <f t="shared" si="88"/>
        <v>532.88843089431077</v>
      </c>
      <c r="IU53">
        <f t="shared" si="88"/>
        <v>535.07419289311724</v>
      </c>
      <c r="IV53">
        <f t="shared" si="88"/>
        <v>537.26008625250438</v>
      </c>
      <c r="IW53">
        <f t="shared" si="88"/>
        <v>539.44611151705146</v>
      </c>
      <c r="IX53">
        <f t="shared" si="88"/>
        <v>541.63226923146794</v>
      </c>
      <c r="IY53">
        <f t="shared" si="88"/>
        <v>543.8185599405931</v>
      </c>
      <c r="IZ53">
        <f t="shared" ref="IZ53:JI57" si="89">(($C52+0.4)*TAN(RADIANS(IZ$47))*$D53*0.8*1000*9.8*$C53)+((0.8*TAN(RADIANS(IZ$47)))*0.8/2*$D53*1000*9.8)*($C53+0.8/6)</f>
        <v>546.00498418939856</v>
      </c>
      <c r="JA53">
        <f t="shared" si="89"/>
        <v>548.19154252298665</v>
      </c>
      <c r="JB53">
        <f t="shared" si="89"/>
        <v>550.37823548659208</v>
      </c>
      <c r="JC53">
        <f t="shared" si="89"/>
        <v>552.56506362558298</v>
      </c>
      <c r="JD53">
        <f t="shared" si="89"/>
        <v>554.75202748545962</v>
      </c>
      <c r="JE53">
        <f t="shared" si="89"/>
        <v>556.93912761185743</v>
      </c>
      <c r="JF53">
        <f t="shared" si="89"/>
        <v>559.12636455054508</v>
      </c>
      <c r="JG53">
        <f t="shared" si="89"/>
        <v>561.3137388474272</v>
      </c>
      <c r="JH53">
        <f t="shared" si="89"/>
        <v>563.50125104854305</v>
      </c>
      <c r="JI53">
        <f t="shared" si="89"/>
        <v>565.68890170006875</v>
      </c>
      <c r="JJ53">
        <f t="shared" ref="JJ53:JS57" si="90">(($C52+0.4)*TAN(RADIANS(JJ$47))*$D53*0.8*1000*9.8*$C53)+((0.8*TAN(RADIANS(JJ$47)))*0.8/2*$D53*1000*9.8)*($C53+0.8/6)</f>
        <v>567.8766913483164</v>
      </c>
      <c r="JK53">
        <f t="shared" si="90"/>
        <v>570.06462053973576</v>
      </c>
      <c r="JL53">
        <f t="shared" si="90"/>
        <v>572.25268982091427</v>
      </c>
      <c r="JM53">
        <f t="shared" si="90"/>
        <v>574.44089973857706</v>
      </c>
      <c r="JN53">
        <f t="shared" si="90"/>
        <v>576.62925083958885</v>
      </c>
      <c r="JO53">
        <f t="shared" si="90"/>
        <v>578.8177436709534</v>
      </c>
      <c r="JP53">
        <f t="shared" si="90"/>
        <v>581.00637877981421</v>
      </c>
      <c r="JQ53">
        <f t="shared" si="90"/>
        <v>583.19515671345584</v>
      </c>
      <c r="JR53">
        <f t="shared" si="90"/>
        <v>585.38407801930327</v>
      </c>
      <c r="JS53">
        <f t="shared" si="90"/>
        <v>587.57314324492359</v>
      </c>
      <c r="JT53">
        <f t="shared" ref="JT53:KC57" si="91">(($C52+0.4)*TAN(RADIANS(JT$47))*$D53*0.8*1000*9.8*$C53)+((0.8*TAN(RADIANS(JT$47)))*0.8/2*$D53*1000*9.8)*($C53+0.8/6)</f>
        <v>589.76235293802563</v>
      </c>
      <c r="JU53">
        <f t="shared" si="91"/>
        <v>591.95170764646116</v>
      </c>
      <c r="JV53">
        <f t="shared" si="91"/>
        <v>594.14120791822529</v>
      </c>
      <c r="JW53">
        <f t="shared" si="91"/>
        <v>596.33085430145684</v>
      </c>
      <c r="JX53">
        <f t="shared" si="91"/>
        <v>598.52064734443866</v>
      </c>
      <c r="JY53">
        <f t="shared" si="91"/>
        <v>600.71058759559924</v>
      </c>
      <c r="JZ53">
        <f t="shared" si="91"/>
        <v>602.90067560351224</v>
      </c>
      <c r="KA53">
        <f t="shared" si="91"/>
        <v>605.09091191689708</v>
      </c>
      <c r="KB53">
        <f t="shared" si="91"/>
        <v>607.28129708462029</v>
      </c>
      <c r="KC53">
        <f t="shared" si="91"/>
        <v>609.47183165569515</v>
      </c>
      <c r="KD53">
        <f t="shared" ref="KD53:KM57" si="92">(($C52+0.4)*TAN(RADIANS(KD$47))*$D53*0.8*1000*9.8*$C53)+((0.8*TAN(RADIANS(KD$47)))*0.8/2*$D53*1000*9.8)*($C53+0.8/6)</f>
        <v>611.66251617928276</v>
      </c>
      <c r="KE53">
        <f t="shared" si="92"/>
        <v>613.85335120469256</v>
      </c>
      <c r="KF53">
        <f t="shared" si="92"/>
        <v>616.04433728138315</v>
      </c>
      <c r="KG53">
        <f t="shared" si="92"/>
        <v>618.23547495896162</v>
      </c>
      <c r="KH53">
        <f t="shared" si="92"/>
        <v>620.42676478718613</v>
      </c>
      <c r="KI53">
        <f t="shared" si="92"/>
        <v>622.61820731596458</v>
      </c>
      <c r="KJ53">
        <f t="shared" si="92"/>
        <v>624.80980309535607</v>
      </c>
      <c r="KK53">
        <f t="shared" si="92"/>
        <v>627.00155267557147</v>
      </c>
      <c r="KL53">
        <f t="shared" si="92"/>
        <v>629.19345660697422</v>
      </c>
      <c r="KM53">
        <f t="shared" si="92"/>
        <v>631.38551544007964</v>
      </c>
      <c r="KN53">
        <f t="shared" ref="KN53:KW57" si="93">(($C52+0.4)*TAN(RADIANS(KN$47))*$D53*0.8*1000*9.8*$C53)+((0.8*TAN(RADIANS(KN$47)))*0.8/2*$D53*1000*9.8)*($C53+0.8/6)</f>
        <v>633.57772972555688</v>
      </c>
      <c r="KO53">
        <f t="shared" si="93"/>
        <v>635.77010001422923</v>
      </c>
      <c r="KP53">
        <f t="shared" si="93"/>
        <v>637.96262685707393</v>
      </c>
      <c r="KQ53">
        <f t="shared" si="93"/>
        <v>640.15531080522305</v>
      </c>
      <c r="KR53">
        <f t="shared" si="93"/>
        <v>642.34815240996511</v>
      </c>
      <c r="KS53">
        <f t="shared" si="93"/>
        <v>644.5411522227439</v>
      </c>
      <c r="KT53">
        <f t="shared" si="93"/>
        <v>646.73431079516024</v>
      </c>
      <c r="KU53">
        <f t="shared" si="93"/>
        <v>648.9276286789725</v>
      </c>
      <c r="KV53">
        <f t="shared" si="93"/>
        <v>651.12110642609605</v>
      </c>
      <c r="KW53">
        <f t="shared" si="93"/>
        <v>653.31474458860555</v>
      </c>
      <c r="KX53">
        <f t="shared" ref="KX53:LG57" si="94">(($C52+0.4)*TAN(RADIANS(KX$47))*$D53*0.8*1000*9.8*$C53)+((0.8*TAN(RADIANS(KX$47)))*0.8/2*$D53*1000*9.8)*($C53+0.8/6)</f>
        <v>655.50854371873368</v>
      </c>
      <c r="KY53">
        <f t="shared" si="94"/>
        <v>657.70250436887363</v>
      </c>
      <c r="KZ53">
        <f t="shared" si="94"/>
        <v>659.8966270915779</v>
      </c>
      <c r="LA53">
        <f t="shared" si="94"/>
        <v>662.09091243955993</v>
      </c>
      <c r="LB53">
        <f t="shared" si="94"/>
        <v>664.28536096569451</v>
      </c>
      <c r="LC53">
        <f t="shared" si="94"/>
        <v>666.47997322301762</v>
      </c>
      <c r="LD53">
        <f t="shared" si="94"/>
        <v>668.67474976472818</v>
      </c>
      <c r="LE53">
        <f t="shared" si="94"/>
        <v>670.86969114418775</v>
      </c>
      <c r="LF53">
        <f t="shared" si="94"/>
        <v>673.06479791492166</v>
      </c>
      <c r="LG53">
        <f t="shared" si="94"/>
        <v>675.26007063061866</v>
      </c>
      <c r="LH53">
        <f t="shared" ref="LH53:LQ57" si="95">(($C52+0.4)*TAN(RADIANS(LH$47))*$D53*0.8*1000*9.8*$C53)+((0.8*TAN(RADIANS(LH$47)))*0.8/2*$D53*1000*9.8)*($C53+0.8/6)</f>
        <v>677.45550984513261</v>
      </c>
      <c r="LI53">
        <f t="shared" si="95"/>
        <v>679.65111611248244</v>
      </c>
      <c r="LJ53">
        <f t="shared" si="95"/>
        <v>681.84688998685272</v>
      </c>
      <c r="LK53">
        <f t="shared" si="95"/>
        <v>684.04283202259467</v>
      </c>
      <c r="LL53">
        <f t="shared" si="95"/>
        <v>686.23894277422539</v>
      </c>
      <c r="LM53">
        <f t="shared" si="95"/>
        <v>688.43522279643082</v>
      </c>
      <c r="LN53">
        <f t="shared" si="95"/>
        <v>690.63167264406388</v>
      </c>
      <c r="LO53">
        <f t="shared" si="95"/>
        <v>692.8282928721469</v>
      </c>
      <c r="LP53">
        <f t="shared" si="95"/>
        <v>695.02508403587035</v>
      </c>
      <c r="LQ53">
        <f t="shared" si="95"/>
        <v>697.22204669059533</v>
      </c>
      <c r="LR53">
        <f t="shared" ref="LR53:MA57" si="96">(($C52+0.4)*TAN(RADIANS(LR$47))*$D53*0.8*1000*9.8*$C53)+((0.8*TAN(RADIANS(LR$47)))*0.8/2*$D53*1000*9.8)*($C53+0.8/6)</f>
        <v>699.41918139185259</v>
      </c>
      <c r="LS53">
        <f t="shared" si="96"/>
        <v>701.61648869534451</v>
      </c>
      <c r="LT53">
        <f t="shared" si="96"/>
        <v>703.81396915694393</v>
      </c>
      <c r="LU53">
        <f t="shared" si="96"/>
        <v>706.01162333269679</v>
      </c>
      <c r="LV53">
        <f t="shared" si="96"/>
        <v>708.20945177882072</v>
      </c>
      <c r="LW53">
        <f t="shared" si="96"/>
        <v>710.40745505170685</v>
      </c>
      <c r="LX53">
        <f t="shared" si="96"/>
        <v>712.60563370792011</v>
      </c>
      <c r="LY53">
        <f t="shared" si="96"/>
        <v>714.80398830419972</v>
      </c>
      <c r="LZ53">
        <f t="shared" si="96"/>
        <v>717.00251939745988</v>
      </c>
      <c r="MA53">
        <f t="shared" si="96"/>
        <v>719.20122754478984</v>
      </c>
      <c r="MB53">
        <f t="shared" ref="MB53:MK57" si="97">(($C52+0.4)*TAN(RADIANS(MB$47))*$D53*0.8*1000*9.8*$C53)+((0.8*TAN(RADIANS(MB$47)))*0.8/2*$D53*1000*9.8)*($C53+0.8/6)</f>
        <v>721.40011330345544</v>
      </c>
      <c r="MC53">
        <f t="shared" si="97"/>
        <v>723.59917723089848</v>
      </c>
      <c r="MD53">
        <f t="shared" si="97"/>
        <v>725.79841988473868</v>
      </c>
      <c r="ME53">
        <f t="shared" si="97"/>
        <v>727.99784182277301</v>
      </c>
      <c r="MF53">
        <f t="shared" si="97"/>
        <v>730.19744360297682</v>
      </c>
      <c r="MG53">
        <f t="shared" si="97"/>
        <v>732.39722578350461</v>
      </c>
      <c r="MH53">
        <f t="shared" si="97"/>
        <v>734.59718892269018</v>
      </c>
      <c r="MI53">
        <f t="shared" si="97"/>
        <v>736.79733357904718</v>
      </c>
      <c r="MJ53">
        <f t="shared" si="97"/>
        <v>738.99766031127069</v>
      </c>
      <c r="MK53">
        <f t="shared" si="97"/>
        <v>741.1981696782359</v>
      </c>
      <c r="ML53">
        <f t="shared" ref="ML53:MU57" si="98">(($C52+0.4)*TAN(RADIANS(ML$47))*$D53*0.8*1000*9.8*$C53)+((0.8*TAN(RADIANS(ML$47)))*0.8/2*$D53*1000*9.8)*($C53+0.8/6)</f>
        <v>743.39886223900112</v>
      </c>
      <c r="MM53">
        <f t="shared" si="98"/>
        <v>745.59973855280577</v>
      </c>
      <c r="MN53">
        <f t="shared" si="98"/>
        <v>747.80079917907301</v>
      </c>
      <c r="MO53">
        <f t="shared" si="98"/>
        <v>750.00204467740878</v>
      </c>
      <c r="MP53">
        <f t="shared" si="98"/>
        <v>752.20347560760433</v>
      </c>
      <c r="MQ53">
        <f t="shared" si="98"/>
        <v>754.40509252963489</v>
      </c>
      <c r="MR53">
        <f t="shared" si="98"/>
        <v>756.60689600366106</v>
      </c>
      <c r="MS53">
        <f t="shared" si="98"/>
        <v>758.80888659002881</v>
      </c>
      <c r="MT53">
        <f t="shared" si="98"/>
        <v>761.01106484927118</v>
      </c>
      <c r="MU53">
        <f t="shared" si="98"/>
        <v>763.21343134210849</v>
      </c>
      <c r="MV53">
        <f t="shared" ref="MV53:NE57" si="99">(($C52+0.4)*TAN(RADIANS(MV$47))*$D53*0.8*1000*9.8*$C53)+((0.8*TAN(RADIANS(MV$47)))*0.8/2*$D53*1000*9.8)*($C53+0.8/6)</f>
        <v>765.41598662944784</v>
      </c>
      <c r="MW53">
        <f t="shared" si="99"/>
        <v>767.61873127238528</v>
      </c>
      <c r="MX53">
        <f t="shared" si="99"/>
        <v>769.82166583220464</v>
      </c>
      <c r="MY53">
        <f t="shared" si="99"/>
        <v>772.02479087038091</v>
      </c>
      <c r="MZ53">
        <f t="shared" si="99"/>
        <v>774.22810694857696</v>
      </c>
      <c r="NA53">
        <f t="shared" si="99"/>
        <v>776.43161462864759</v>
      </c>
      <c r="NB53">
        <f t="shared" si="99"/>
        <v>778.6353144726379</v>
      </c>
      <c r="NC53">
        <f t="shared" si="99"/>
        <v>780.83920704278535</v>
      </c>
      <c r="ND53">
        <f t="shared" si="99"/>
        <v>783.04329290151918</v>
      </c>
      <c r="NE53">
        <f t="shared" si="99"/>
        <v>785.24757261146169</v>
      </c>
      <c r="NF53">
        <f t="shared" ref="NF53:NO57" si="100">(($C52+0.4)*TAN(RADIANS(NF$47))*$D53*0.8*1000*9.8*$C53)+((0.8*TAN(RADIANS(NF$47)))*0.8/2*$D53*1000*9.8)*($C53+0.8/6)</f>
        <v>787.45204673542878</v>
      </c>
      <c r="NG53">
        <f t="shared" si="100"/>
        <v>789.65671583643029</v>
      </c>
      <c r="NH53">
        <f t="shared" si="100"/>
        <v>791.86158047767049</v>
      </c>
      <c r="NI53">
        <f t="shared" si="100"/>
        <v>794.06664122254915</v>
      </c>
      <c r="NJ53">
        <f t="shared" si="100"/>
        <v>796.27189863466208</v>
      </c>
      <c r="NK53">
        <f t="shared" si="100"/>
        <v>798.47735327780049</v>
      </c>
      <c r="NL53">
        <f t="shared" si="100"/>
        <v>800.68300571595353</v>
      </c>
      <c r="NM53">
        <f t="shared" si="100"/>
        <v>802.88885651330793</v>
      </c>
      <c r="NN53">
        <f t="shared" si="100"/>
        <v>805.09490623424836</v>
      </c>
      <c r="NO53">
        <f t="shared" si="100"/>
        <v>807.30115544335763</v>
      </c>
      <c r="NP53">
        <f t="shared" ref="NP53:NY57" si="101">(($C52+0.4)*TAN(RADIANS(NP$47))*$D53*0.8*1000*9.8*$C53)+((0.8*TAN(RADIANS(NP$47)))*0.8/2*$D53*1000*9.8)*($C53+0.8/6)</f>
        <v>809.50760470541877</v>
      </c>
      <c r="NQ53">
        <f t="shared" si="101"/>
        <v>811.71425458541444</v>
      </c>
      <c r="NR53">
        <f t="shared" si="101"/>
        <v>813.92110564852783</v>
      </c>
      <c r="NS53">
        <f t="shared" si="101"/>
        <v>816.12815846014337</v>
      </c>
      <c r="NT53">
        <f t="shared" si="101"/>
        <v>818.33541358584671</v>
      </c>
      <c r="NU53">
        <f t="shared" si="101"/>
        <v>820.54287159142712</v>
      </c>
      <c r="NV53">
        <f t="shared" si="101"/>
        <v>822.75053304287485</v>
      </c>
      <c r="NW53">
        <f t="shared" si="101"/>
        <v>824.95839850638527</v>
      </c>
      <c r="NX53">
        <f t="shared" si="101"/>
        <v>827.16646854835676</v>
      </c>
      <c r="NY53">
        <f t="shared" si="101"/>
        <v>829.37474373539317</v>
      </c>
      <c r="NZ53">
        <f t="shared" ref="NZ53:OI57" si="102">(($C52+0.4)*TAN(RADIANS(NZ$47))*$D53*0.8*1000*9.8*$C53)+((0.8*TAN(RADIANS(NZ$47)))*0.8/2*$D53*1000*9.8)*($C53+0.8/6)</f>
        <v>831.58322463430341</v>
      </c>
      <c r="OA53">
        <f t="shared" si="102"/>
        <v>833.79191181210194</v>
      </c>
      <c r="OB53">
        <f t="shared" si="102"/>
        <v>836.00080583600993</v>
      </c>
      <c r="OC53">
        <f t="shared" si="102"/>
        <v>838.20990727345543</v>
      </c>
      <c r="OD53">
        <f t="shared" si="102"/>
        <v>840.41921669207522</v>
      </c>
      <c r="OE53">
        <f t="shared" si="102"/>
        <v>842.62873465971256</v>
      </c>
      <c r="OF53">
        <f t="shared" si="102"/>
        <v>844.83846174442067</v>
      </c>
      <c r="OG53">
        <f t="shared" si="102"/>
        <v>847.04839851446218</v>
      </c>
      <c r="OH53">
        <f t="shared" si="102"/>
        <v>849.25854553830982</v>
      </c>
      <c r="OI53">
        <f t="shared" si="102"/>
        <v>851.46890338464641</v>
      </c>
      <c r="OJ53">
        <f t="shared" ref="OJ53:OS57" si="103">(($C52+0.4)*TAN(RADIANS(OJ$47))*$D53*0.8*1000*9.8*$C53)+((0.8*TAN(RADIANS(OJ$47)))*0.8/2*$D53*1000*9.8)*($C53+0.8/6)</f>
        <v>853.6794726223668</v>
      </c>
      <c r="OK53">
        <f t="shared" si="103"/>
        <v>855.89025382057685</v>
      </c>
      <c r="OL53">
        <f t="shared" si="103"/>
        <v>858.10124754859589</v>
      </c>
      <c r="OM53">
        <f t="shared" si="103"/>
        <v>860.31245437595533</v>
      </c>
      <c r="ON53">
        <f t="shared" si="103"/>
        <v>862.52387487240094</v>
      </c>
      <c r="OO53">
        <f t="shared" si="103"/>
        <v>864.73550960789271</v>
      </c>
      <c r="OP53">
        <f t="shared" si="103"/>
        <v>866.9473591526048</v>
      </c>
      <c r="OQ53">
        <f t="shared" si="103"/>
        <v>869.15942407692751</v>
      </c>
      <c r="OR53">
        <f t="shared" si="103"/>
        <v>871.37170495146688</v>
      </c>
      <c r="OS53">
        <f t="shared" si="103"/>
        <v>873.58420234704647</v>
      </c>
      <c r="OT53">
        <f t="shared" ref="OT53:PC57" si="104">(($C52+0.4)*TAN(RADIANS(OT$47))*$D53*0.8*1000*9.8*$C53)+((0.8*TAN(RADIANS(OT$47)))*0.8/2*$D53*1000*9.8)*($C53+0.8/6)</f>
        <v>875.7969168347056</v>
      </c>
      <c r="OU53">
        <f t="shared" si="104"/>
        <v>878.00984898570243</v>
      </c>
      <c r="OV53">
        <f t="shared" si="104"/>
        <v>880.22299937151411</v>
      </c>
      <c r="OW53">
        <f t="shared" si="104"/>
        <v>882.43636856383557</v>
      </c>
      <c r="OX53">
        <f t="shared" si="104"/>
        <v>884.64995713458234</v>
      </c>
      <c r="OY53">
        <f t="shared" si="104"/>
        <v>886.86376565589012</v>
      </c>
      <c r="OZ53">
        <f t="shared" si="104"/>
        <v>889.07779470011553</v>
      </c>
      <c r="PA53">
        <f t="shared" si="104"/>
        <v>891.29204483983631</v>
      </c>
      <c r="PB53">
        <f t="shared" si="104"/>
        <v>893.50651664785323</v>
      </c>
      <c r="PC53">
        <f t="shared" si="104"/>
        <v>895.72121069718855</v>
      </c>
      <c r="PD53">
        <f t="shared" ref="PD53:PM57" si="105">(($C52+0.4)*TAN(RADIANS(PD$47))*$D53*0.8*1000*9.8*$C53)+((0.8*TAN(RADIANS(PD$47)))*0.8/2*$D53*1000*9.8)*($C53+0.8/6)</f>
        <v>897.93612756108951</v>
      </c>
      <c r="PE53">
        <f t="shared" si="105"/>
        <v>900.15126781302536</v>
      </c>
      <c r="PF53">
        <f t="shared" si="105"/>
        <v>902.36663202669115</v>
      </c>
      <c r="PG53">
        <f t="shared" si="105"/>
        <v>904.58222077600749</v>
      </c>
      <c r="PH53">
        <f t="shared" si="105"/>
        <v>906.79803463511985</v>
      </c>
      <c r="PI53">
        <f t="shared" si="105"/>
        <v>909.01407417840005</v>
      </c>
      <c r="PJ53">
        <f t="shared" si="105"/>
        <v>911.23033998044741</v>
      </c>
      <c r="PK53">
        <f t="shared" si="105"/>
        <v>913.4468326160893</v>
      </c>
      <c r="PL53">
        <f t="shared" si="105"/>
        <v>915.66355266038045</v>
      </c>
      <c r="PM53">
        <f t="shared" si="105"/>
        <v>917.88050068860503</v>
      </c>
      <c r="PN53">
        <f t="shared" ref="PN53:PW57" si="106">(($C52+0.4)*TAN(RADIANS(PN$47))*$D53*0.8*1000*9.8*$C53)+((0.8*TAN(RADIANS(PN$47)))*0.8/2*$D53*1000*9.8)*($C53+0.8/6)</f>
        <v>920.09767727627582</v>
      </c>
      <c r="PO53">
        <f t="shared" si="106"/>
        <v>922.31508299913662</v>
      </c>
      <c r="PP53">
        <f t="shared" si="106"/>
        <v>924.53271843316224</v>
      </c>
      <c r="PQ53">
        <f t="shared" si="106"/>
        <v>926.75058415455692</v>
      </c>
      <c r="PR53">
        <f t="shared" si="106"/>
        <v>928.96868073975952</v>
      </c>
      <c r="PS53">
        <f t="shared" si="106"/>
        <v>931.18700876543846</v>
      </c>
      <c r="PT53">
        <f t="shared" si="106"/>
        <v>933.40556880849817</v>
      </c>
      <c r="PU53">
        <f t="shared" si="106"/>
        <v>935.624361446075</v>
      </c>
      <c r="PV53">
        <f t="shared" si="106"/>
        <v>937.84338725554028</v>
      </c>
      <c r="PW53">
        <f t="shared" si="106"/>
        <v>940.06264681450011</v>
      </c>
      <c r="PX53">
        <f t="shared" ref="PX53:QG57" si="107">(($C52+0.4)*TAN(RADIANS(PX$47))*$D53*0.8*1000*9.8*$C53)+((0.8*TAN(RADIANS(PX$47)))*0.8/2*$D53*1000*9.8)*($C53+0.8/6)</f>
        <v>942.28214070079696</v>
      </c>
      <c r="PY53">
        <f t="shared" si="107"/>
        <v>944.50186949250872</v>
      </c>
      <c r="PZ53">
        <f t="shared" si="107"/>
        <v>946.72183376795056</v>
      </c>
      <c r="QA53">
        <f t="shared" si="107"/>
        <v>948.94203410567479</v>
      </c>
      <c r="QB53">
        <f t="shared" si="107"/>
        <v>951.16247108447203</v>
      </c>
      <c r="QC53">
        <f t="shared" si="107"/>
        <v>953.38314528337241</v>
      </c>
      <c r="QD53">
        <f t="shared" si="107"/>
        <v>955.60405728164392</v>
      </c>
      <c r="QE53">
        <f t="shared" si="107"/>
        <v>957.82520765879576</v>
      </c>
      <c r="QF53">
        <f t="shared" si="107"/>
        <v>960.04659699457716</v>
      </c>
      <c r="QG53">
        <f t="shared" si="107"/>
        <v>962.26822586897902</v>
      </c>
      <c r="QH53">
        <f t="shared" ref="QH53:QQ57" si="108">(($C52+0.4)*TAN(RADIANS(QH$47))*$D53*0.8*1000*9.8*$C53)+((0.8*TAN(RADIANS(QH$47)))*0.8/2*$D53*1000*9.8)*($C53+0.8/6)</f>
        <v>964.49009486223281</v>
      </c>
      <c r="QI53">
        <f t="shared" si="108"/>
        <v>966.71220455481443</v>
      </c>
      <c r="QJ53">
        <f t="shared" si="108"/>
        <v>968.93455552744149</v>
      </c>
      <c r="QK53">
        <f t="shared" si="108"/>
        <v>971.157148361076</v>
      </c>
      <c r="QL53">
        <f t="shared" si="108"/>
        <v>973.37998363692384</v>
      </c>
      <c r="QM53">
        <f t="shared" si="108"/>
        <v>975.60306193643612</v>
      </c>
      <c r="QN53">
        <f t="shared" si="108"/>
        <v>977.82638384130917</v>
      </c>
      <c r="QO53">
        <f t="shared" si="108"/>
        <v>980.04994993348691</v>
      </c>
      <c r="QP53">
        <f t="shared" si="108"/>
        <v>982.27376079515807</v>
      </c>
      <c r="QQ53">
        <f t="shared" si="108"/>
        <v>984.49781700876019</v>
      </c>
      <c r="QR53">
        <f t="shared" ref="QR53:RA57" si="109">(($C52+0.4)*TAN(RADIANS(QR$47))*$D53*0.8*1000*9.8*$C53)+((0.8*TAN(RADIANS(QR$47)))*0.8/2*$D53*1000*9.8)*($C53+0.8/6)</f>
        <v>986.72211915697926</v>
      </c>
      <c r="QS53">
        <f t="shared" si="109"/>
        <v>988.94666782274862</v>
      </c>
      <c r="QT53">
        <f t="shared" si="109"/>
        <v>991.17146358925265</v>
      </c>
      <c r="QU53">
        <f t="shared" si="109"/>
        <v>993.3965070399239</v>
      </c>
      <c r="QV53">
        <f t="shared" si="109"/>
        <v>995.62179875844731</v>
      </c>
      <c r="QW53">
        <f t="shared" si="109"/>
        <v>997.84733932875793</v>
      </c>
      <c r="QX53">
        <f t="shared" si="109"/>
        <v>1000.0731293350448</v>
      </c>
      <c r="QY53">
        <f t="shared" si="109"/>
        <v>1002.2991693617441</v>
      </c>
      <c r="QZ53">
        <f t="shared" si="109"/>
        <v>1004.525459993552</v>
      </c>
      <c r="RA53">
        <f t="shared" si="109"/>
        <v>1006.7520018154148</v>
      </c>
      <c r="RB53">
        <f t="shared" ref="RB53:RK57" si="110">(($C52+0.4)*TAN(RADIANS(RB$47))*$D53*0.8*1000*9.8*$C53)+((0.8*TAN(RADIANS(RB$47)))*0.8/2*$D53*1000*9.8)*($C53+0.8/6)</f>
        <v>1008.978795412535</v>
      </c>
      <c r="RC53">
        <f t="shared" si="110"/>
        <v>1011.2058413703653</v>
      </c>
      <c r="RD53">
        <f t="shared" si="110"/>
        <v>1013.4331402746211</v>
      </c>
      <c r="RE53">
        <f t="shared" si="110"/>
        <v>1015.6606927112704</v>
      </c>
      <c r="RF53">
        <f t="shared" si="110"/>
        <v>1017.8884992665394</v>
      </c>
      <c r="RG53">
        <f t="shared" si="110"/>
        <v>1020.116560526908</v>
      </c>
      <c r="RH53">
        <f t="shared" si="110"/>
        <v>1022.3448770791208</v>
      </c>
      <c r="RI53">
        <f t="shared" si="110"/>
        <v>1024.5734495101774</v>
      </c>
      <c r="RJ53">
        <f t="shared" si="110"/>
        <v>1026.8022784073382</v>
      </c>
      <c r="RK53">
        <f t="shared" si="110"/>
        <v>1029.0313643581203</v>
      </c>
      <c r="RL53">
        <f t="shared" ref="RL53:RU57" si="111">(($C52+0.4)*TAN(RADIANS(RL$47))*$D53*0.8*1000*9.8*$C53)+((0.8*TAN(RADIANS(RL$47)))*0.8/2*$D53*1000*9.8)*($C53+0.8/6)</f>
        <v>1031.2607079503077</v>
      </c>
      <c r="RM53">
        <f t="shared" si="111"/>
        <v>1033.4903097719414</v>
      </c>
      <c r="RN53">
        <f t="shared" si="111"/>
        <v>1035.7201704113277</v>
      </c>
      <c r="RO53">
        <f t="shared" si="111"/>
        <v>1037.9502904570297</v>
      </c>
      <c r="RP53">
        <f t="shared" si="111"/>
        <v>1040.1806704978819</v>
      </c>
      <c r="RQ53">
        <f t="shared" si="111"/>
        <v>1042.4113111229769</v>
      </c>
      <c r="RR53">
        <f t="shared" si="111"/>
        <v>1044.6422129216762</v>
      </c>
      <c r="RS53">
        <f t="shared" si="111"/>
        <v>1046.8733764836006</v>
      </c>
      <c r="RT53">
        <f t="shared" si="111"/>
        <v>1049.1048023986441</v>
      </c>
      <c r="RU53">
        <f t="shared" si="111"/>
        <v>1051.3364912569637</v>
      </c>
      <c r="RV53">
        <f t="shared" ref="RV53:SE57" si="112">(($C52+0.4)*TAN(RADIANS(RV$47))*$D53*0.8*1000*9.8*$C53)+((0.8*TAN(RADIANS(RV$47)))*0.8/2*$D53*1000*9.8)*($C53+0.8/6)</f>
        <v>1053.5684436489814</v>
      </c>
      <c r="RW53">
        <f t="shared" si="112"/>
        <v>1055.8006601653915</v>
      </c>
      <c r="RX53">
        <f t="shared" si="112"/>
        <v>1058.0331413971535</v>
      </c>
      <c r="RY53">
        <f t="shared" si="112"/>
        <v>1060.2658879355008</v>
      </c>
      <c r="RZ53">
        <f t="shared" si="112"/>
        <v>1062.4989003719299</v>
      </c>
      <c r="SA53">
        <f t="shared" si="112"/>
        <v>1064.7321792982125</v>
      </c>
      <c r="SB53">
        <f t="shared" si="112"/>
        <v>1066.9657253063895</v>
      </c>
      <c r="SC53">
        <f t="shared" si="112"/>
        <v>1069.1995389887775</v>
      </c>
      <c r="SD53">
        <f t="shared" si="112"/>
        <v>1071.4336209379585</v>
      </c>
      <c r="SE53">
        <f t="shared" si="112"/>
        <v>1073.6679717467937</v>
      </c>
      <c r="SF53">
        <f t="shared" ref="SF53:SO57" si="113">(($C52+0.4)*TAN(RADIANS(SF$47))*$D53*0.8*1000*9.8*$C53)+((0.8*TAN(RADIANS(SF$47)))*0.8/2*$D53*1000*9.8)*($C53+0.8/6)</f>
        <v>1075.9025920084139</v>
      </c>
      <c r="SG53">
        <f t="shared" si="113"/>
        <v>1078.1374823162303</v>
      </c>
      <c r="SH53">
        <f t="shared" si="113"/>
        <v>1080.3726432639205</v>
      </c>
      <c r="SI53">
        <f t="shared" si="113"/>
        <v>1082.6080754454456</v>
      </c>
      <c r="SJ53">
        <f t="shared" si="113"/>
        <v>1084.8437794550373</v>
      </c>
      <c r="SK53">
        <f t="shared" si="113"/>
        <v>1087.0797558872109</v>
      </c>
      <c r="SL53">
        <f t="shared" si="113"/>
        <v>1089.3160053367515</v>
      </c>
      <c r="SM53">
        <f t="shared" si="113"/>
        <v>1091.5525283987286</v>
      </c>
      <c r="SN53">
        <f t="shared" si="113"/>
        <v>1093.789325668487</v>
      </c>
      <c r="SO53">
        <f t="shared" si="113"/>
        <v>1096.0263977416546</v>
      </c>
      <c r="SP53">
        <f t="shared" ref="SP53:SY57" si="114">(($C52+0.4)*TAN(RADIANS(SP$47))*$D53*0.8*1000*9.8*$C53)+((0.8*TAN(RADIANS(SP$47)))*0.8/2*$D53*1000*9.8)*($C53+0.8/6)</f>
        <v>1098.2637452141371</v>
      </c>
      <c r="SQ53">
        <f t="shared" si="114"/>
        <v>1100.5013686821217</v>
      </c>
      <c r="SR53">
        <f t="shared" si="114"/>
        <v>1102.7392687420779</v>
      </c>
      <c r="SS53">
        <f t="shared" si="114"/>
        <v>1104.977445990756</v>
      </c>
      <c r="ST53">
        <f t="shared" si="114"/>
        <v>1107.2159010251908</v>
      </c>
      <c r="SU53">
        <f t="shared" si="114"/>
        <v>1109.4546344426999</v>
      </c>
      <c r="SV53">
        <f t="shared" si="114"/>
        <v>1111.6936468408858</v>
      </c>
      <c r="SW53">
        <f t="shared" si="114"/>
        <v>1113.9329388176347</v>
      </c>
      <c r="SX53">
        <f t="shared" si="114"/>
        <v>1116.1725109711201</v>
      </c>
      <c r="SY53">
        <f t="shared" si="114"/>
        <v>1118.4123638998008</v>
      </c>
      <c r="SZ53">
        <f t="shared" ref="SZ53:TI57" si="115">(($C52+0.4)*TAN(RADIANS(SZ$47))*$D53*0.8*1000*9.8*$C53)+((0.8*TAN(RADIANS(SZ$47)))*0.8/2*$D53*1000*9.8)*($C53+0.8/6)</f>
        <v>1120.6524982024225</v>
      </c>
      <c r="TA53">
        <f t="shared" si="115"/>
        <v>1122.8929144780182</v>
      </c>
      <c r="TB53">
        <f t="shared" si="115"/>
        <v>1125.1336133259101</v>
      </c>
      <c r="TC53">
        <f t="shared" si="115"/>
        <v>1127.3745953457087</v>
      </c>
      <c r="TD53">
        <f t="shared" si="115"/>
        <v>1129.6158611373144</v>
      </c>
      <c r="TE53">
        <f t="shared" si="115"/>
        <v>1131.8574113009172</v>
      </c>
      <c r="TF53">
        <f t="shared" si="115"/>
        <v>1134.0992464369992</v>
      </c>
      <c r="TG53">
        <f t="shared" si="115"/>
        <v>1136.3413671463327</v>
      </c>
      <c r="TH53">
        <f t="shared" si="115"/>
        <v>1138.5837740299839</v>
      </c>
      <c r="TI53">
        <f t="shared" si="115"/>
        <v>1140.8264676893098</v>
      </c>
      <c r="TJ53">
        <f t="shared" ref="TJ53:TS57" si="116">(($C52+0.4)*TAN(RADIANS(TJ$47))*$D53*0.8*1000*9.8*$C53)+((0.8*TAN(RADIANS(TJ$47)))*0.8/2*$D53*1000*9.8)*($C53+0.8/6)</f>
        <v>1143.0694487259634</v>
      </c>
      <c r="TK53">
        <f t="shared" si="116"/>
        <v>1145.3127177418896</v>
      </c>
      <c r="TL53">
        <f t="shared" si="116"/>
        <v>1147.556275339331</v>
      </c>
      <c r="TM53">
        <f t="shared" si="116"/>
        <v>1149.8001221208231</v>
      </c>
      <c r="TN53">
        <f t="shared" si="116"/>
        <v>1152.0442586891995</v>
      </c>
      <c r="TO53">
        <f t="shared" si="116"/>
        <v>1154.2886856475893</v>
      </c>
      <c r="TP53">
        <f t="shared" si="116"/>
        <v>1156.5334035994215</v>
      </c>
      <c r="TQ53">
        <f t="shared" si="116"/>
        <v>1158.7784131484214</v>
      </c>
      <c r="TR53">
        <f t="shared" si="116"/>
        <v>1161.0237148986137</v>
      </c>
      <c r="TS53">
        <f t="shared" si="116"/>
        <v>1163.2693094543231</v>
      </c>
      <c r="TT53">
        <f t="shared" ref="TT53:UC57" si="117">(($C52+0.4)*TAN(RADIANS(TT$47))*$D53*0.8*1000*9.8*$C53)+((0.8*TAN(RADIANS(TT$47)))*0.8/2*$D53*1000*9.8)*($C53+0.8/6)</f>
        <v>1165.5151974201749</v>
      </c>
      <c r="TU53">
        <f t="shared" si="117"/>
        <v>1167.7613794010952</v>
      </c>
      <c r="TV53">
        <f t="shared" si="117"/>
        <v>1170.007856002311</v>
      </c>
      <c r="TW53">
        <f t="shared" si="117"/>
        <v>1172.2546278293532</v>
      </c>
      <c r="TX53">
        <f t="shared" si="117"/>
        <v>1174.5016954880548</v>
      </c>
      <c r="TY53">
        <f t="shared" si="117"/>
        <v>1176.7490595845527</v>
      </c>
      <c r="TZ53">
        <f t="shared" si="117"/>
        <v>1178.9967207252882</v>
      </c>
      <c r="UA53">
        <f t="shared" si="117"/>
        <v>1181.2446795170081</v>
      </c>
      <c r="UB53">
        <f t="shared" si="117"/>
        <v>1183.4929365667645</v>
      </c>
      <c r="UC53">
        <f t="shared" si="117"/>
        <v>1185.7414924819163</v>
      </c>
      <c r="UD53">
        <f t="shared" ref="UD53:UM57" si="118">(($C52+0.4)*TAN(RADIANS(UD$47))*$D53*0.8*1000*9.8*$C53)+((0.8*TAN(RADIANS(UD$47)))*0.8/2*$D53*1000*9.8)*($C53+0.8/6)</f>
        <v>1187.9903478701292</v>
      </c>
      <c r="UE53">
        <f t="shared" si="118"/>
        <v>1190.2395033393773</v>
      </c>
      <c r="UF53">
        <f t="shared" si="118"/>
        <v>1192.4889594979429</v>
      </c>
      <c r="UG53">
        <f t="shared" si="118"/>
        <v>1194.7387169544177</v>
      </c>
      <c r="UH53">
        <f t="shared" si="118"/>
        <v>1196.988776317703</v>
      </c>
      <c r="UI53">
        <f t="shared" si="118"/>
        <v>1199.2391381970106</v>
      </c>
      <c r="UJ53">
        <f t="shared" si="118"/>
        <v>1201.4898032018646</v>
      </c>
      <c r="UK53">
        <f t="shared" si="118"/>
        <v>1203.7407719421001</v>
      </c>
      <c r="UL53">
        <f t="shared" si="118"/>
        <v>1205.9920450278651</v>
      </c>
      <c r="UM53">
        <f t="shared" si="118"/>
        <v>1208.2436230696208</v>
      </c>
      <c r="UN53">
        <f t="shared" ref="UN53:UW57" si="119">(($C52+0.4)*TAN(RADIANS(UN$47))*$D53*0.8*1000*9.8*$C53)+((0.8*TAN(RADIANS(UN$47)))*0.8/2*$D53*1000*9.8)*($C53+0.8/6)</f>
        <v>1210.4955066781426</v>
      </c>
      <c r="UO53">
        <f t="shared" si="119"/>
        <v>1212.7476964645207</v>
      </c>
      <c r="UP53">
        <f t="shared" si="119"/>
        <v>1215.0001930401609</v>
      </c>
      <c r="UQ53">
        <f t="shared" si="119"/>
        <v>1217.2529970167855</v>
      </c>
      <c r="UR53">
        <f t="shared" si="119"/>
        <v>1219.5061090064319</v>
      </c>
      <c r="US53">
        <f t="shared" si="119"/>
        <v>1221.759529621457</v>
      </c>
      <c r="UT53">
        <f t="shared" si="119"/>
        <v>1224.0132594745346</v>
      </c>
      <c r="UU53">
        <f t="shared" si="119"/>
        <v>1226.2672991786583</v>
      </c>
      <c r="UV53">
        <f t="shared" si="119"/>
        <v>1228.5216493471403</v>
      </c>
      <c r="UW53">
        <f t="shared" si="119"/>
        <v>1230.7763105936142</v>
      </c>
      <c r="UX53">
        <f t="shared" ref="UX53:VG57" si="120">(($C52+0.4)*TAN(RADIANS(UX$47))*$D53*0.8*1000*9.8*$C53)+((0.8*TAN(RADIANS(UX$47)))*0.8/2*$D53*1000*9.8)*($C53+0.8/6)</f>
        <v>1233.0312835320344</v>
      </c>
      <c r="UY53">
        <f t="shared" si="120"/>
        <v>1235.2865687766757</v>
      </c>
      <c r="UZ53">
        <f t="shared" si="120"/>
        <v>1237.5421669421366</v>
      </c>
      <c r="VA53">
        <f t="shared" si="120"/>
        <v>1239.7980786433391</v>
      </c>
      <c r="VB53">
        <f t="shared" si="120"/>
        <v>1242.054304495528</v>
      </c>
      <c r="VC53">
        <f t="shared" si="120"/>
        <v>1244.3108451142721</v>
      </c>
      <c r="VD53">
        <f t="shared" si="120"/>
        <v>1246.5677011154673</v>
      </c>
      <c r="VE53">
        <f t="shared" si="120"/>
        <v>1248.8248731153333</v>
      </c>
      <c r="VF53">
        <f t="shared" si="120"/>
        <v>1251.0823617304181</v>
      </c>
      <c r="VG53">
        <f t="shared" si="120"/>
        <v>1253.3401675775963</v>
      </c>
      <c r="VH53">
        <f t="shared" ref="VH53:VQ57" si="121">(($C52+0.4)*TAN(RADIANS(VH$47))*$D53*0.8*1000*9.8*$C53)+((0.8*TAN(RADIANS(VH$47)))*0.8/2*$D53*1000*9.8)*($C53+0.8/6)</f>
        <v>1255.5982912740697</v>
      </c>
      <c r="VI53">
        <f t="shared" si="121"/>
        <v>1257.8567334373706</v>
      </c>
      <c r="VJ53">
        <f t="shared" si="121"/>
        <v>1260.1154946853599</v>
      </c>
      <c r="VK53">
        <f t="shared" si="121"/>
        <v>1262.3745756362275</v>
      </c>
      <c r="VL53">
        <f t="shared" si="121"/>
        <v>1264.6339769084959</v>
      </c>
      <c r="VM53">
        <f t="shared" si="121"/>
        <v>1266.8936991210185</v>
      </c>
      <c r="VN53">
        <f t="shared" si="121"/>
        <v>1269.153742892981</v>
      </c>
      <c r="VO53">
        <f t="shared" si="121"/>
        <v>1271.4141088439017</v>
      </c>
      <c r="VP53">
        <f t="shared" si="121"/>
        <v>1273.6747975936323</v>
      </c>
      <c r="VQ53">
        <f t="shared" si="121"/>
        <v>1275.9358097623613</v>
      </c>
      <c r="VR53">
        <f t="shared" ref="VR53:WA57" si="122">(($C52+0.4)*TAN(RADIANS(VR$47))*$D53*0.8*1000*9.8*$C53)+((0.8*TAN(RADIANS(VR$47)))*0.8/2*$D53*1000*9.8)*($C53+0.8/6)</f>
        <v>1278.1971459706087</v>
      </c>
      <c r="VS53">
        <f t="shared" si="122"/>
        <v>1280.4588068392331</v>
      </c>
      <c r="VT53">
        <f t="shared" si="122"/>
        <v>1282.7207929894282</v>
      </c>
      <c r="VU53">
        <f t="shared" si="122"/>
        <v>1284.9831050427258</v>
      </c>
      <c r="VV53">
        <f t="shared" si="122"/>
        <v>1287.2457436209952</v>
      </c>
      <c r="VW53">
        <f t="shared" si="122"/>
        <v>1289.5087093464444</v>
      </c>
      <c r="VX53">
        <f t="shared" si="122"/>
        <v>1291.7720028416211</v>
      </c>
      <c r="VY53">
        <f t="shared" si="122"/>
        <v>1294.0356247294126</v>
      </c>
      <c r="VZ53">
        <f t="shared" si="122"/>
        <v>1296.2995756330479</v>
      </c>
      <c r="WA53">
        <f t="shared" si="122"/>
        <v>1298.563856176097</v>
      </c>
      <c r="WB53">
        <f t="shared" ref="WB53:WK57" si="123">(($C52+0.4)*TAN(RADIANS(WB$47))*$D53*0.8*1000*9.8*$C53)+((0.8*TAN(RADIANS(WB$47)))*0.8/2*$D53*1000*9.8)*($C53+0.8/6)</f>
        <v>1300.828466982472</v>
      </c>
      <c r="WC53">
        <f t="shared" si="123"/>
        <v>1303.0934086764282</v>
      </c>
      <c r="WD53">
        <f t="shared" si="123"/>
        <v>1305.3586818825647</v>
      </c>
      <c r="WE53">
        <f t="shared" si="123"/>
        <v>1307.6242872258258</v>
      </c>
      <c r="WF53">
        <f t="shared" si="123"/>
        <v>1309.8902253314991</v>
      </c>
      <c r="WG53">
        <f t="shared" si="123"/>
        <v>1312.1564968252196</v>
      </c>
      <c r="WH53">
        <f t="shared" si="123"/>
        <v>1314.4231023329689</v>
      </c>
      <c r="WI53">
        <f t="shared" si="123"/>
        <v>1316.6900424810751</v>
      </c>
      <c r="WJ53">
        <f t="shared" si="123"/>
        <v>1318.9573178962155</v>
      </c>
      <c r="WK53">
        <f t="shared" si="123"/>
        <v>1321.224929205415</v>
      </c>
      <c r="WL53">
        <f t="shared" ref="WL53:WN57" si="124">(($C52+0.4)*TAN(RADIANS(WL$47))*$D53*0.8*1000*9.8*$C53)+((0.8*TAN(RADIANS(WL$47)))*0.8/2*$D53*1000*9.8)*($C53+0.8/6)</f>
        <v>1323.4928770360484</v>
      </c>
      <c r="WM53">
        <f t="shared" si="124"/>
        <v>1325.7611620158423</v>
      </c>
      <c r="WN53">
        <f t="shared" si="124"/>
        <v>1328.0297847728716</v>
      </c>
    </row>
    <row r="54" spans="2:612" x14ac:dyDescent="0.25">
      <c r="B54">
        <v>7</v>
      </c>
      <c r="C54">
        <f>C53+0.8</f>
        <v>1.5375000000000001</v>
      </c>
      <c r="D54">
        <v>1.1100000000000001</v>
      </c>
      <c r="J54">
        <f>(($C53+0.4)*TAN(RADIANS(J$47))*$D54*0.8*1000*9.8*$C54)+((0.8*TAN(RADIANS(J$47)))*0.8/2*$D54*1000*9.8)*($C54+0.8/6)</f>
        <v>7.3428747398677761</v>
      </c>
      <c r="K54">
        <f t="shared" si="80"/>
        <v>14.685751269149961</v>
      </c>
      <c r="L54">
        <f t="shared" si="80"/>
        <v>22.028631377262698</v>
      </c>
      <c r="M54">
        <f t="shared" si="80"/>
        <v>29.371516853625653</v>
      </c>
      <c r="N54">
        <f t="shared" si="80"/>
        <v>36.714409487663687</v>
      </c>
      <c r="O54">
        <f t="shared" si="80"/>
        <v>44.057311068808644</v>
      </c>
      <c r="P54">
        <f t="shared" si="80"/>
        <v>51.400223386501111</v>
      </c>
      <c r="Q54">
        <f t="shared" si="80"/>
        <v>58.743148230192112</v>
      </c>
      <c r="R54">
        <f t="shared" si="80"/>
        <v>66.086087389344925</v>
      </c>
      <c r="S54">
        <f t="shared" si="80"/>
        <v>73.42904265343671</v>
      </c>
      <c r="T54">
        <f t="shared" si="80"/>
        <v>80.772015811960415</v>
      </c>
      <c r="U54">
        <f t="shared" si="80"/>
        <v>88.115008654426347</v>
      </c>
      <c r="V54">
        <f t="shared" si="80"/>
        <v>95.458022970364084</v>
      </c>
      <c r="W54">
        <f t="shared" si="80"/>
        <v>102.80106054932405</v>
      </c>
      <c r="X54">
        <f t="shared" si="80"/>
        <v>110.14412318087939</v>
      </c>
      <c r="Y54">
        <f t="shared" si="80"/>
        <v>117.48721265462771</v>
      </c>
      <c r="Z54">
        <f t="shared" si="80"/>
        <v>124.83033076019271</v>
      </c>
      <c r="AA54">
        <f t="shared" si="80"/>
        <v>132.173479287226</v>
      </c>
      <c r="AB54">
        <f t="shared" si="80"/>
        <v>139.51666002540898</v>
      </c>
      <c r="AC54">
        <f t="shared" si="80"/>
        <v>146.85987476445428</v>
      </c>
      <c r="AD54">
        <f t="shared" si="80"/>
        <v>154.20312529410768</v>
      </c>
      <c r="AE54">
        <f t="shared" si="80"/>
        <v>161.54641340415003</v>
      </c>
      <c r="AF54">
        <f t="shared" si="80"/>
        <v>168.88974088439866</v>
      </c>
      <c r="AG54">
        <f t="shared" si="80"/>
        <v>176.23310952470925</v>
      </c>
      <c r="AH54">
        <f t="shared" si="80"/>
        <v>183.57652111497777</v>
      </c>
      <c r="AI54">
        <f t="shared" si="80"/>
        <v>190.919977445142</v>
      </c>
      <c r="AJ54">
        <f t="shared" si="80"/>
        <v>198.26348030518312</v>
      </c>
      <c r="AK54">
        <f t="shared" si="80"/>
        <v>205.60703148512806</v>
      </c>
      <c r="AL54">
        <f t="shared" si="80"/>
        <v>212.95063277505051</v>
      </c>
      <c r="AM54">
        <f t="shared" si="80"/>
        <v>220.29428596507319</v>
      </c>
      <c r="AN54">
        <f t="shared" si="80"/>
        <v>227.63799284536941</v>
      </c>
      <c r="AO54">
        <f t="shared" si="80"/>
        <v>234.98175520616491</v>
      </c>
      <c r="AP54">
        <f t="shared" si="80"/>
        <v>242.32557483773911</v>
      </c>
      <c r="AQ54">
        <f t="shared" si="80"/>
        <v>249.66945353042786</v>
      </c>
      <c r="AR54">
        <f t="shared" si="80"/>
        <v>257.0133930746241</v>
      </c>
      <c r="AS54">
        <f t="shared" si="80"/>
        <v>264.35739526078044</v>
      </c>
      <c r="AT54">
        <f t="shared" si="80"/>
        <v>271.70146187941037</v>
      </c>
      <c r="AU54">
        <f t="shared" si="80"/>
        <v>279.04559472109025</v>
      </c>
      <c r="AV54">
        <f t="shared" si="80"/>
        <v>286.38979557646098</v>
      </c>
      <c r="AW54">
        <f t="shared" si="80"/>
        <v>293.73406623622986</v>
      </c>
      <c r="AX54">
        <f t="shared" si="80"/>
        <v>301.07840849117218</v>
      </c>
      <c r="AY54">
        <f t="shared" si="80"/>
        <v>308.42282413213314</v>
      </c>
      <c r="AZ54">
        <f t="shared" si="80"/>
        <v>315.76731495002917</v>
      </c>
      <c r="BA54">
        <f t="shared" si="80"/>
        <v>323.1118827358506</v>
      </c>
      <c r="BB54">
        <f t="shared" si="80"/>
        <v>330.45652928066221</v>
      </c>
      <c r="BC54">
        <f t="shared" si="80"/>
        <v>337.80125637560599</v>
      </c>
      <c r="BD54">
        <f t="shared" si="80"/>
        <v>345.14606581190208</v>
      </c>
      <c r="BE54">
        <f t="shared" si="80"/>
        <v>352.49095938085156</v>
      </c>
      <c r="BF54">
        <f t="shared" si="80"/>
        <v>359.83593887383671</v>
      </c>
      <c r="BG54">
        <f t="shared" si="80"/>
        <v>367.18100608232436</v>
      </c>
      <c r="BH54">
        <f t="shared" si="80"/>
        <v>374.5261627978665</v>
      </c>
      <c r="BI54">
        <f t="shared" si="80"/>
        <v>381.87141081210234</v>
      </c>
      <c r="BJ54">
        <f t="shared" si="80"/>
        <v>389.21675191676042</v>
      </c>
      <c r="BK54">
        <f t="shared" si="80"/>
        <v>396.56218790365972</v>
      </c>
      <c r="BL54">
        <f t="shared" si="80"/>
        <v>403.90772056471229</v>
      </c>
      <c r="BM54">
        <f t="shared" si="80"/>
        <v>411.25335169192374</v>
      </c>
      <c r="BN54">
        <f t="shared" si="80"/>
        <v>418.59908307739613</v>
      </c>
      <c r="BO54">
        <f t="shared" si="80"/>
        <v>425.94491651332959</v>
      </c>
      <c r="BP54">
        <f t="shared" si="80"/>
        <v>433.29085379202303</v>
      </c>
      <c r="BQ54">
        <f t="shared" si="80"/>
        <v>440.63689670587758</v>
      </c>
      <c r="BR54">
        <f t="shared" si="80"/>
        <v>447.9830470473965</v>
      </c>
      <c r="BS54">
        <f t="shared" si="80"/>
        <v>455.32930660918839</v>
      </c>
      <c r="BT54">
        <f t="shared" si="80"/>
        <v>462.67567718396828</v>
      </c>
      <c r="BU54">
        <f t="shared" si="80"/>
        <v>470.0221605645595</v>
      </c>
      <c r="BV54">
        <f t="shared" si="80"/>
        <v>477.36875854389518</v>
      </c>
      <c r="BW54">
        <f t="shared" si="81"/>
        <v>484.71547291502054</v>
      </c>
      <c r="BX54">
        <f t="shared" si="81"/>
        <v>492.06230547109425</v>
      </c>
      <c r="BY54">
        <f t="shared" si="81"/>
        <v>499.40925800539037</v>
      </c>
      <c r="BZ54">
        <f t="shared" si="81"/>
        <v>506.7563323112995</v>
      </c>
      <c r="CA54">
        <f t="shared" si="81"/>
        <v>514.10353018233195</v>
      </c>
      <c r="CB54">
        <f t="shared" si="81"/>
        <v>521.45085341211768</v>
      </c>
      <c r="CC54">
        <f t="shared" si="81"/>
        <v>528.79830379440966</v>
      </c>
      <c r="CD54">
        <f t="shared" si="81"/>
        <v>536.14588312308445</v>
      </c>
      <c r="CE54">
        <f t="shared" si="81"/>
        <v>543.49359319214454</v>
      </c>
      <c r="CF54">
        <f t="shared" si="81"/>
        <v>550.84143579572037</v>
      </c>
      <c r="CG54">
        <f t="shared" si="81"/>
        <v>558.18941272807069</v>
      </c>
      <c r="CH54">
        <f t="shared" si="81"/>
        <v>565.53752578358649</v>
      </c>
      <c r="CI54">
        <f t="shared" si="81"/>
        <v>572.88577675679119</v>
      </c>
      <c r="CJ54">
        <f t="shared" si="81"/>
        <v>580.23416744234237</v>
      </c>
      <c r="CK54">
        <f t="shared" si="81"/>
        <v>587.58269963503437</v>
      </c>
      <c r="CL54">
        <f t="shared" si="81"/>
        <v>594.93137512979979</v>
      </c>
      <c r="CM54">
        <f t="shared" si="81"/>
        <v>602.28019572171002</v>
      </c>
      <c r="CN54">
        <f t="shared" si="81"/>
        <v>609.62916320598003</v>
      </c>
      <c r="CO54">
        <f t="shared" si="81"/>
        <v>616.97827937796637</v>
      </c>
      <c r="CP54">
        <f t="shared" si="81"/>
        <v>624.3275460331713</v>
      </c>
      <c r="CQ54">
        <f t="shared" si="81"/>
        <v>631.67696496724375</v>
      </c>
      <c r="CR54">
        <f t="shared" si="81"/>
        <v>639.02653797598225</v>
      </c>
      <c r="CS54">
        <f t="shared" si="81"/>
        <v>646.37626685533428</v>
      </c>
      <c r="CT54">
        <f t="shared" si="81"/>
        <v>653.72615340140055</v>
      </c>
      <c r="CU54">
        <f t="shared" si="81"/>
        <v>661.07619941043538</v>
      </c>
      <c r="CV54">
        <f t="shared" si="81"/>
        <v>668.42640667884802</v>
      </c>
      <c r="CW54">
        <f t="shared" si="81"/>
        <v>675.7767770032068</v>
      </c>
      <c r="CX54">
        <f t="shared" si="81"/>
        <v>683.12731218023748</v>
      </c>
      <c r="CY54">
        <f t="shared" si="81"/>
        <v>690.47801400682761</v>
      </c>
      <c r="CZ54">
        <f t="shared" si="81"/>
        <v>697.82888428002786</v>
      </c>
      <c r="DA54">
        <f t="shared" si="81"/>
        <v>705.17992479705231</v>
      </c>
      <c r="DB54">
        <f t="shared" si="81"/>
        <v>712.53113735528223</v>
      </c>
      <c r="DC54">
        <f t="shared" si="81"/>
        <v>719.88252375226614</v>
      </c>
      <c r="DD54">
        <f t="shared" si="81"/>
        <v>727.23408578572253</v>
      </c>
      <c r="DE54">
        <f t="shared" si="81"/>
        <v>734.585825253542</v>
      </c>
      <c r="DF54">
        <f t="shared" si="81"/>
        <v>741.93774395378739</v>
      </c>
      <c r="DG54">
        <f t="shared" si="81"/>
        <v>749.2898436846973</v>
      </c>
      <c r="DH54">
        <f t="shared" si="81"/>
        <v>756.64212624468678</v>
      </c>
      <c r="DI54">
        <f t="shared" si="81"/>
        <v>763.99459343235003</v>
      </c>
      <c r="DJ54">
        <f t="shared" si="81"/>
        <v>771.34724704646067</v>
      </c>
      <c r="DK54">
        <f t="shared" si="81"/>
        <v>778.70008888597476</v>
      </c>
      <c r="DL54">
        <f t="shared" si="81"/>
        <v>786.05312075003235</v>
      </c>
      <c r="DM54">
        <f t="shared" si="81"/>
        <v>793.40634443795955</v>
      </c>
      <c r="DN54">
        <f t="shared" si="81"/>
        <v>800.75976174926882</v>
      </c>
      <c r="DO54">
        <f t="shared" si="81"/>
        <v>808.11337448366237</v>
      </c>
      <c r="DP54">
        <f t="shared" si="81"/>
        <v>815.46718444103317</v>
      </c>
      <c r="DQ54">
        <f t="shared" si="81"/>
        <v>822.82119342146711</v>
      </c>
      <c r="DR54">
        <f t="shared" si="81"/>
        <v>830.17540322524405</v>
      </c>
      <c r="DS54">
        <f t="shared" si="81"/>
        <v>837.5298156528404</v>
      </c>
      <c r="DT54">
        <f t="shared" si="81"/>
        <v>844.8844325049314</v>
      </c>
      <c r="DU54">
        <f t="shared" si="81"/>
        <v>852.23925558238966</v>
      </c>
      <c r="DV54">
        <f t="shared" si="81"/>
        <v>859.59428668629164</v>
      </c>
      <c r="DW54">
        <f t="shared" si="81"/>
        <v>866.94952761791581</v>
      </c>
      <c r="DX54">
        <f t="shared" si="81"/>
        <v>874.30498017874652</v>
      </c>
      <c r="DY54">
        <f t="shared" si="81"/>
        <v>881.66064617047414</v>
      </c>
      <c r="DZ54">
        <f t="shared" si="81"/>
        <v>889.01652739499809</v>
      </c>
      <c r="EA54">
        <f t="shared" si="81"/>
        <v>896.37262565442779</v>
      </c>
      <c r="EB54">
        <f t="shared" si="81"/>
        <v>903.72894275108536</v>
      </c>
      <c r="EC54">
        <f t="shared" si="81"/>
        <v>911.08548048750617</v>
      </c>
      <c r="ED54">
        <f t="shared" si="81"/>
        <v>918.44224066644188</v>
      </c>
      <c r="EE54">
        <f t="shared" si="81"/>
        <v>925.79922509086111</v>
      </c>
      <c r="EF54">
        <f t="shared" si="81"/>
        <v>933.15643556395207</v>
      </c>
      <c r="EG54">
        <f t="shared" si="81"/>
        <v>940.51387388912349</v>
      </c>
      <c r="EH54">
        <f t="shared" si="81"/>
        <v>947.87154187000738</v>
      </c>
      <c r="EI54">
        <f t="shared" si="82"/>
        <v>955.22944131045995</v>
      </c>
      <c r="EJ54">
        <f t="shared" si="82"/>
        <v>962.58757401456353</v>
      </c>
      <c r="EK54">
        <f t="shared" si="82"/>
        <v>969.94594178662942</v>
      </c>
      <c r="EL54">
        <f t="shared" si="82"/>
        <v>977.30454643119742</v>
      </c>
      <c r="EM54">
        <f t="shared" si="82"/>
        <v>984.66338975304029</v>
      </c>
      <c r="EN54">
        <f t="shared" si="82"/>
        <v>992.02247355716315</v>
      </c>
      <c r="EO54">
        <f t="shared" si="82"/>
        <v>999.38179964880737</v>
      </c>
      <c r="EP54">
        <f t="shared" si="82"/>
        <v>1006.7413698334499</v>
      </c>
      <c r="EQ54">
        <f t="shared" si="82"/>
        <v>1014.1011859168077</v>
      </c>
      <c r="ER54">
        <f t="shared" si="82"/>
        <v>1021.4612497048381</v>
      </c>
      <c r="ES54">
        <f t="shared" si="82"/>
        <v>1028.8215630037398</v>
      </c>
      <c r="ET54">
        <f t="shared" si="82"/>
        <v>1036.1821276199564</v>
      </c>
      <c r="EU54">
        <f t="shared" si="82"/>
        <v>1043.5429453601773</v>
      </c>
      <c r="EV54">
        <f t="shared" si="82"/>
        <v>1050.9040180313391</v>
      </c>
      <c r="EW54">
        <f t="shared" si="82"/>
        <v>1058.2653474406279</v>
      </c>
      <c r="EX54">
        <f t="shared" si="82"/>
        <v>1065.6269353954822</v>
      </c>
      <c r="EY54">
        <f t="shared" si="82"/>
        <v>1072.9887837035913</v>
      </c>
      <c r="EZ54">
        <f t="shared" si="82"/>
        <v>1080.3508941729006</v>
      </c>
      <c r="FA54">
        <f t="shared" si="82"/>
        <v>1087.7132686116129</v>
      </c>
      <c r="FB54">
        <f t="shared" si="82"/>
        <v>1095.0759088281866</v>
      </c>
      <c r="FC54">
        <f t="shared" si="82"/>
        <v>1102.4388166313438</v>
      </c>
      <c r="FD54">
        <f t="shared" si="82"/>
        <v>1109.8019938300654</v>
      </c>
      <c r="FE54">
        <f t="shared" si="82"/>
        <v>1117.1654422335973</v>
      </c>
      <c r="FF54">
        <f t="shared" si="82"/>
        <v>1124.529163651451</v>
      </c>
      <c r="FG54">
        <f t="shared" si="82"/>
        <v>1131.893159893405</v>
      </c>
      <c r="FH54">
        <f t="shared" si="82"/>
        <v>1139.2574327695067</v>
      </c>
      <c r="FI54">
        <f t="shared" si="82"/>
        <v>1146.6219840900751</v>
      </c>
      <c r="FJ54">
        <f t="shared" si="82"/>
        <v>1153.9868156657003</v>
      </c>
      <c r="FK54">
        <f t="shared" si="82"/>
        <v>1161.3519293072484</v>
      </c>
      <c r="FL54">
        <f t="shared" si="82"/>
        <v>1168.7173268258607</v>
      </c>
      <c r="FM54">
        <f t="shared" si="82"/>
        <v>1176.0830100329563</v>
      </c>
      <c r="FN54">
        <f t="shared" si="82"/>
        <v>1183.4489807402356</v>
      </c>
      <c r="FO54">
        <f t="shared" si="82"/>
        <v>1190.815240759679</v>
      </c>
      <c r="FP54">
        <f t="shared" si="82"/>
        <v>1198.1817919035502</v>
      </c>
      <c r="FQ54">
        <f t="shared" si="82"/>
        <v>1205.5486359843994</v>
      </c>
      <c r="FR54">
        <f t="shared" si="82"/>
        <v>1212.9157748150631</v>
      </c>
      <c r="FS54">
        <f t="shared" si="82"/>
        <v>1220.2832102086654</v>
      </c>
      <c r="FT54">
        <f t="shared" si="82"/>
        <v>1227.6509439786228</v>
      </c>
      <c r="FU54">
        <f t="shared" si="82"/>
        <v>1235.0189779386433</v>
      </c>
      <c r="FV54">
        <f t="shared" si="82"/>
        <v>1242.3873139027276</v>
      </c>
      <c r="FW54">
        <f t="shared" si="82"/>
        <v>1249.7559536851754</v>
      </c>
      <c r="FX54">
        <f t="shared" si="82"/>
        <v>1257.1248991005812</v>
      </c>
      <c r="FY54">
        <f t="shared" si="82"/>
        <v>1264.4941519638405</v>
      </c>
      <c r="FZ54">
        <f t="shared" si="82"/>
        <v>1271.8637140901496</v>
      </c>
      <c r="GA54">
        <f t="shared" si="82"/>
        <v>1279.2335872950086</v>
      </c>
      <c r="GB54">
        <f t="shared" si="82"/>
        <v>1286.603773394221</v>
      </c>
      <c r="GC54">
        <f t="shared" si="82"/>
        <v>1293.9742742038989</v>
      </c>
      <c r="GD54">
        <f t="shared" si="82"/>
        <v>1301.3450915404612</v>
      </c>
      <c r="GE54">
        <f t="shared" si="82"/>
        <v>1308.7162272206381</v>
      </c>
      <c r="GF54">
        <f t="shared" si="82"/>
        <v>1316.0876830614716</v>
      </c>
      <c r="GG54">
        <f t="shared" si="82"/>
        <v>1323.4594608803181</v>
      </c>
      <c r="GH54">
        <f t="shared" si="82"/>
        <v>1330.8315624948477</v>
      </c>
      <c r="GI54">
        <f t="shared" si="82"/>
        <v>1338.2039897230511</v>
      </c>
      <c r="GJ54">
        <f t="shared" si="82"/>
        <v>1345.5767443832365</v>
      </c>
      <c r="GK54">
        <f t="shared" si="82"/>
        <v>1352.9498282940326</v>
      </c>
      <c r="GL54">
        <f t="shared" si="82"/>
        <v>1360.3232432743926</v>
      </c>
      <c r="GM54">
        <f t="shared" si="82"/>
        <v>1367.6969911435929</v>
      </c>
      <c r="GN54">
        <f t="shared" si="82"/>
        <v>1375.0710737212387</v>
      </c>
      <c r="GO54">
        <f t="shared" si="82"/>
        <v>1382.4454928272603</v>
      </c>
      <c r="GP54">
        <f t="shared" si="82"/>
        <v>1389.8202502819208</v>
      </c>
      <c r="GQ54">
        <f t="shared" si="82"/>
        <v>1397.1953479058138</v>
      </c>
      <c r="GR54">
        <f t="shared" si="82"/>
        <v>1404.570787519868</v>
      </c>
      <c r="GS54">
        <f t="shared" si="82"/>
        <v>1411.9465709453457</v>
      </c>
      <c r="GT54">
        <f t="shared" si="82"/>
        <v>1419.3227000038491</v>
      </c>
      <c r="GU54">
        <f t="shared" si="83"/>
        <v>1426.699176517317</v>
      </c>
      <c r="GV54">
        <f t="shared" si="83"/>
        <v>1434.0760023080311</v>
      </c>
      <c r="GW54">
        <f t="shared" si="83"/>
        <v>1441.4531791986151</v>
      </c>
      <c r="GX54">
        <f t="shared" si="83"/>
        <v>1448.8307090120377</v>
      </c>
      <c r="GY54">
        <f t="shared" si="83"/>
        <v>1456.2085935716132</v>
      </c>
      <c r="GZ54">
        <f t="shared" si="83"/>
        <v>1463.5868347010048</v>
      </c>
      <c r="HA54">
        <f t="shared" si="83"/>
        <v>1470.9654342242266</v>
      </c>
      <c r="HB54">
        <f t="shared" si="84"/>
        <v>1478.3443939656429</v>
      </c>
      <c r="HC54">
        <f t="shared" si="84"/>
        <v>1485.7237157499735</v>
      </c>
      <c r="HD54">
        <f t="shared" si="84"/>
        <v>1493.1034014022914</v>
      </c>
      <c r="HE54">
        <f t="shared" si="84"/>
        <v>1500.4834527480295</v>
      </c>
      <c r="HF54">
        <f t="shared" si="84"/>
        <v>1507.8638716129778</v>
      </c>
      <c r="HG54">
        <f t="shared" si="84"/>
        <v>1515.2446598232893</v>
      </c>
      <c r="HH54">
        <f t="shared" si="84"/>
        <v>1522.6258192054775</v>
      </c>
      <c r="HI54">
        <f t="shared" si="84"/>
        <v>1530.0073515864224</v>
      </c>
      <c r="HJ54">
        <f t="shared" si="84"/>
        <v>1537.389258793369</v>
      </c>
      <c r="HK54">
        <f t="shared" si="84"/>
        <v>1544.7715426539326</v>
      </c>
      <c r="HL54">
        <f t="shared" si="85"/>
        <v>1552.1542049960958</v>
      </c>
      <c r="HM54">
        <f t="shared" si="85"/>
        <v>1559.5372476482157</v>
      </c>
      <c r="HN54">
        <f t="shared" si="85"/>
        <v>1566.9206724390215</v>
      </c>
      <c r="HO54">
        <f t="shared" si="85"/>
        <v>1574.304481197619</v>
      </c>
      <c r="HP54">
        <f t="shared" si="85"/>
        <v>1581.6886757534901</v>
      </c>
      <c r="HQ54">
        <f t="shared" si="85"/>
        <v>1589.0732579364974</v>
      </c>
      <c r="HR54">
        <f t="shared" si="85"/>
        <v>1596.4582295768844</v>
      </c>
      <c r="HS54">
        <f t="shared" si="85"/>
        <v>1603.8435925052763</v>
      </c>
      <c r="HT54">
        <f t="shared" si="85"/>
        <v>1611.2293485526836</v>
      </c>
      <c r="HU54">
        <f t="shared" si="85"/>
        <v>1618.6154995505042</v>
      </c>
      <c r="HV54">
        <f t="shared" si="86"/>
        <v>1626.0020473305226</v>
      </c>
      <c r="HW54">
        <f t="shared" si="86"/>
        <v>1633.388993724916</v>
      </c>
      <c r="HX54">
        <f t="shared" si="86"/>
        <v>1640.7763405662499</v>
      </c>
      <c r="HY54">
        <f t="shared" si="86"/>
        <v>1648.1640896874881</v>
      </c>
      <c r="HZ54">
        <f t="shared" si="86"/>
        <v>1655.5522429219873</v>
      </c>
      <c r="IA54">
        <f t="shared" si="86"/>
        <v>1662.9408021035017</v>
      </c>
      <c r="IB54">
        <f t="shared" si="86"/>
        <v>1670.3297690661868</v>
      </c>
      <c r="IC54">
        <f t="shared" si="86"/>
        <v>1677.7191456445973</v>
      </c>
      <c r="ID54">
        <f t="shared" si="86"/>
        <v>1685.1089336736923</v>
      </c>
      <c r="IE54">
        <f t="shared" si="86"/>
        <v>1692.4991349888351</v>
      </c>
      <c r="IF54">
        <f t="shared" si="87"/>
        <v>1699.8897514257956</v>
      </c>
      <c r="IG54">
        <f t="shared" si="87"/>
        <v>1707.2807848207528</v>
      </c>
      <c r="IH54">
        <f t="shared" si="87"/>
        <v>1714.6722370102962</v>
      </c>
      <c r="II54">
        <f t="shared" si="87"/>
        <v>1722.0641098314268</v>
      </c>
      <c r="IJ54">
        <f t="shared" si="87"/>
        <v>1729.4564051215602</v>
      </c>
      <c r="IK54">
        <f t="shared" si="87"/>
        <v>1736.8491247185289</v>
      </c>
      <c r="IL54">
        <f t="shared" si="87"/>
        <v>1744.2422704605808</v>
      </c>
      <c r="IM54">
        <f t="shared" si="87"/>
        <v>1751.6358441863858</v>
      </c>
      <c r="IN54">
        <f t="shared" si="87"/>
        <v>1759.0298477350348</v>
      </c>
      <c r="IO54">
        <f t="shared" si="87"/>
        <v>1766.4242829460402</v>
      </c>
      <c r="IP54">
        <f t="shared" si="88"/>
        <v>1773.8191516593424</v>
      </c>
      <c r="IQ54">
        <f t="shared" si="88"/>
        <v>1781.2144557153072</v>
      </c>
      <c r="IR54">
        <f t="shared" si="88"/>
        <v>1788.6101969547287</v>
      </c>
      <c r="IS54">
        <f t="shared" si="88"/>
        <v>1796.0063772188332</v>
      </c>
      <c r="IT54">
        <f t="shared" si="88"/>
        <v>1803.4029983492783</v>
      </c>
      <c r="IU54">
        <f t="shared" si="88"/>
        <v>1810.8000621881577</v>
      </c>
      <c r="IV54">
        <f t="shared" si="88"/>
        <v>1818.1975705780001</v>
      </c>
      <c r="IW54">
        <f t="shared" si="88"/>
        <v>1825.5955253617724</v>
      </c>
      <c r="IX54">
        <f t="shared" si="88"/>
        <v>1832.9939283828821</v>
      </c>
      <c r="IY54">
        <f t="shared" si="88"/>
        <v>1840.3927814851777</v>
      </c>
      <c r="IZ54">
        <f t="shared" si="89"/>
        <v>1847.7920865129522</v>
      </c>
      <c r="JA54">
        <f t="shared" si="89"/>
        <v>1855.191845310944</v>
      </c>
      <c r="JB54">
        <f t="shared" si="89"/>
        <v>1862.5920597243389</v>
      </c>
      <c r="JC54">
        <f t="shared" si="89"/>
        <v>1869.9927315987729</v>
      </c>
      <c r="JD54">
        <f t="shared" si="89"/>
        <v>1877.3938627803307</v>
      </c>
      <c r="JE54">
        <f t="shared" si="89"/>
        <v>1884.7954551155526</v>
      </c>
      <c r="JF54">
        <f t="shared" si="89"/>
        <v>1892.1975104514318</v>
      </c>
      <c r="JG54">
        <f t="shared" si="89"/>
        <v>1899.6000306354208</v>
      </c>
      <c r="JH54">
        <f t="shared" si="89"/>
        <v>1907.0030175154272</v>
      </c>
      <c r="JI54">
        <f t="shared" si="89"/>
        <v>1914.4064729398233</v>
      </c>
      <c r="JJ54">
        <f t="shared" si="90"/>
        <v>1921.8103987574395</v>
      </c>
      <c r="JK54">
        <f t="shared" si="90"/>
        <v>1929.2147968175734</v>
      </c>
      <c r="JL54">
        <f t="shared" si="90"/>
        <v>1936.6196689699873</v>
      </c>
      <c r="JM54">
        <f t="shared" si="90"/>
        <v>1944.0250170649128</v>
      </c>
      <c r="JN54">
        <f t="shared" si="90"/>
        <v>1951.4308429530493</v>
      </c>
      <c r="JO54">
        <f t="shared" si="90"/>
        <v>1958.8371484855697</v>
      </c>
      <c r="JP54">
        <f t="shared" si="90"/>
        <v>1966.2439355141196</v>
      </c>
      <c r="JQ54">
        <f t="shared" si="90"/>
        <v>1973.6512058908206</v>
      </c>
      <c r="JR54">
        <f t="shared" si="90"/>
        <v>1981.0589614682708</v>
      </c>
      <c r="JS54">
        <f t="shared" si="90"/>
        <v>1988.4672040995479</v>
      </c>
      <c r="JT54">
        <f t="shared" si="91"/>
        <v>1995.8759356382113</v>
      </c>
      <c r="JU54">
        <f t="shared" si="91"/>
        <v>2003.2851579383023</v>
      </c>
      <c r="JV54">
        <f t="shared" si="91"/>
        <v>2010.6948728543487</v>
      </c>
      <c r="JW54">
        <f t="shared" si="91"/>
        <v>2018.1050822413627</v>
      </c>
      <c r="JX54">
        <f t="shared" si="91"/>
        <v>2025.5157879548469</v>
      </c>
      <c r="JY54">
        <f t="shared" si="91"/>
        <v>2032.9269918507935</v>
      </c>
      <c r="JZ54">
        <f t="shared" si="91"/>
        <v>2040.3386957856878</v>
      </c>
      <c r="KA54">
        <f t="shared" si="91"/>
        <v>2047.7509016165086</v>
      </c>
      <c r="KB54">
        <f t="shared" si="91"/>
        <v>2055.1636112007318</v>
      </c>
      <c r="KC54">
        <f t="shared" si="91"/>
        <v>2062.5768263963291</v>
      </c>
      <c r="KD54">
        <f t="shared" si="92"/>
        <v>2069.9905490617762</v>
      </c>
      <c r="KE54">
        <f t="shared" si="92"/>
        <v>2077.4047810560455</v>
      </c>
      <c r="KF54">
        <f t="shared" si="92"/>
        <v>2084.8195242386178</v>
      </c>
      <c r="KG54">
        <f t="shared" si="92"/>
        <v>2092.2347804694755</v>
      </c>
      <c r="KH54">
        <f t="shared" si="92"/>
        <v>2099.6505516091124</v>
      </c>
      <c r="KI54">
        <f t="shared" si="92"/>
        <v>2107.066839518528</v>
      </c>
      <c r="KJ54">
        <f t="shared" si="92"/>
        <v>2114.483646059236</v>
      </c>
      <c r="KK54">
        <f t="shared" si="92"/>
        <v>2121.9009730932607</v>
      </c>
      <c r="KL54">
        <f t="shared" si="92"/>
        <v>2129.3188224831438</v>
      </c>
      <c r="KM54">
        <f t="shared" si="92"/>
        <v>2136.7371960919422</v>
      </c>
      <c r="KN54">
        <f t="shared" si="93"/>
        <v>2144.1560957832326</v>
      </c>
      <c r="KO54">
        <f t="shared" si="93"/>
        <v>2151.5755234211119</v>
      </c>
      <c r="KP54">
        <f t="shared" si="93"/>
        <v>2158.9954808701996</v>
      </c>
      <c r="KQ54">
        <f t="shared" si="93"/>
        <v>2166.4159699956408</v>
      </c>
      <c r="KR54">
        <f t="shared" si="93"/>
        <v>2173.8369926631067</v>
      </c>
      <c r="KS54">
        <f t="shared" si="93"/>
        <v>2181.2585507387957</v>
      </c>
      <c r="KT54">
        <f t="shared" si="93"/>
        <v>2188.6806460894363</v>
      </c>
      <c r="KU54">
        <f t="shared" si="93"/>
        <v>2196.1032805822924</v>
      </c>
      <c r="KV54">
        <f t="shared" si="93"/>
        <v>2203.5264560851583</v>
      </c>
      <c r="KW54">
        <f t="shared" si="93"/>
        <v>2210.9501744663653</v>
      </c>
      <c r="KX54">
        <f t="shared" si="94"/>
        <v>2218.3744375947836</v>
      </c>
      <c r="KY54">
        <f t="shared" si="94"/>
        <v>2225.7992473398226</v>
      </c>
      <c r="KZ54">
        <f t="shared" si="94"/>
        <v>2233.224605571434</v>
      </c>
      <c r="LA54">
        <f t="shared" si="94"/>
        <v>2240.6505141601106</v>
      </c>
      <c r="LB54">
        <f t="shared" si="94"/>
        <v>2248.0769749768942</v>
      </c>
      <c r="LC54">
        <f t="shared" si="94"/>
        <v>2255.5039898933728</v>
      </c>
      <c r="LD54">
        <f t="shared" si="94"/>
        <v>2262.931560781682</v>
      </c>
      <c r="LE54">
        <f t="shared" si="94"/>
        <v>2270.359689514512</v>
      </c>
      <c r="LF54">
        <f t="shared" si="94"/>
        <v>2277.7883779651024</v>
      </c>
      <c r="LG54">
        <f t="shared" si="94"/>
        <v>2285.2176280072513</v>
      </c>
      <c r="LH54">
        <f t="shared" si="95"/>
        <v>2292.6474415153134</v>
      </c>
      <c r="LI54">
        <f t="shared" si="95"/>
        <v>2300.0778203641994</v>
      </c>
      <c r="LJ54">
        <f t="shared" si="95"/>
        <v>2307.5087664293837</v>
      </c>
      <c r="LK54">
        <f t="shared" si="95"/>
        <v>2314.9402815869034</v>
      </c>
      <c r="LL54">
        <f t="shared" si="95"/>
        <v>2322.3723677133585</v>
      </c>
      <c r="LM54">
        <f t="shared" si="95"/>
        <v>2329.8050266859191</v>
      </c>
      <c r="LN54">
        <f t="shared" si="95"/>
        <v>2337.2382603823189</v>
      </c>
      <c r="LO54">
        <f t="shared" si="95"/>
        <v>2344.6720706808674</v>
      </c>
      <c r="LP54">
        <f t="shared" si="95"/>
        <v>2352.1064594604422</v>
      </c>
      <c r="LQ54">
        <f t="shared" si="95"/>
        <v>2359.5414286004989</v>
      </c>
      <c r="LR54">
        <f t="shared" si="96"/>
        <v>2366.9769799810661</v>
      </c>
      <c r="LS54">
        <f t="shared" si="96"/>
        <v>2374.4131154827542</v>
      </c>
      <c r="LT54">
        <f t="shared" si="96"/>
        <v>2381.8498369867502</v>
      </c>
      <c r="LU54">
        <f t="shared" si="96"/>
        <v>2389.287146374827</v>
      </c>
      <c r="LV54">
        <f t="shared" si="96"/>
        <v>2396.725045529337</v>
      </c>
      <c r="LW54">
        <f t="shared" si="96"/>
        <v>2404.1635363332225</v>
      </c>
      <c r="LX54">
        <f t="shared" si="96"/>
        <v>2411.6026206700126</v>
      </c>
      <c r="LY54">
        <f t="shared" si="96"/>
        <v>2419.0423004238264</v>
      </c>
      <c r="LZ54">
        <f t="shared" si="96"/>
        <v>2426.4825774793735</v>
      </c>
      <c r="MA54">
        <f t="shared" si="96"/>
        <v>2433.9234537219581</v>
      </c>
      <c r="MB54">
        <f t="shared" si="97"/>
        <v>2441.3649310374813</v>
      </c>
      <c r="MC54">
        <f t="shared" si="97"/>
        <v>2448.8070113124409</v>
      </c>
      <c r="MD54">
        <f t="shared" si="97"/>
        <v>2456.2496964339339</v>
      </c>
      <c r="ME54">
        <f t="shared" si="97"/>
        <v>2463.6929882896602</v>
      </c>
      <c r="MF54">
        <f t="shared" si="97"/>
        <v>2471.1368887679214</v>
      </c>
      <c r="MG54">
        <f t="shared" si="97"/>
        <v>2478.5813997576261</v>
      </c>
      <c r="MH54">
        <f t="shared" si="97"/>
        <v>2486.0265231482895</v>
      </c>
      <c r="MI54">
        <f t="shared" si="97"/>
        <v>2493.4722608300353</v>
      </c>
      <c r="MJ54">
        <f t="shared" si="97"/>
        <v>2500.9186146936026</v>
      </c>
      <c r="MK54">
        <f t="shared" si="97"/>
        <v>2508.3655866303379</v>
      </c>
      <c r="ML54">
        <f t="shared" si="98"/>
        <v>2515.813178532208</v>
      </c>
      <c r="MM54">
        <f t="shared" si="98"/>
        <v>2523.2613922917931</v>
      </c>
      <c r="MN54">
        <f t="shared" si="98"/>
        <v>2530.7102298022969</v>
      </c>
      <c r="MO54">
        <f t="shared" si="98"/>
        <v>2538.1596929575389</v>
      </c>
      <c r="MP54">
        <f t="shared" si="98"/>
        <v>2545.6097836519666</v>
      </c>
      <c r="MQ54">
        <f t="shared" si="98"/>
        <v>2553.0605037806486</v>
      </c>
      <c r="MR54">
        <f t="shared" si="98"/>
        <v>2560.5118552392846</v>
      </c>
      <c r="MS54">
        <f t="shared" si="98"/>
        <v>2567.9638399241985</v>
      </c>
      <c r="MT54">
        <f t="shared" si="98"/>
        <v>2575.4164597323502</v>
      </c>
      <c r="MU54">
        <f t="shared" si="98"/>
        <v>2582.8697165613289</v>
      </c>
      <c r="MV54">
        <f t="shared" si="99"/>
        <v>2590.3236123093593</v>
      </c>
      <c r="MW54">
        <f t="shared" si="99"/>
        <v>2597.7781488753049</v>
      </c>
      <c r="MX54">
        <f t="shared" si="99"/>
        <v>2605.2333281586662</v>
      </c>
      <c r="MY54">
        <f t="shared" si="99"/>
        <v>2612.689152059585</v>
      </c>
      <c r="MZ54">
        <f t="shared" si="99"/>
        <v>2620.1456224788462</v>
      </c>
      <c r="NA54">
        <f t="shared" si="99"/>
        <v>2627.6027413178799</v>
      </c>
      <c r="NB54">
        <f t="shared" si="99"/>
        <v>2635.060510478761</v>
      </c>
      <c r="NC54">
        <f t="shared" si="99"/>
        <v>2642.5189318642156</v>
      </c>
      <c r="ND54">
        <f t="shared" si="99"/>
        <v>2649.9780073776192</v>
      </c>
      <c r="NE54">
        <f t="shared" si="99"/>
        <v>2657.4377389230003</v>
      </c>
      <c r="NF54">
        <f t="shared" si="100"/>
        <v>2664.8981284050419</v>
      </c>
      <c r="NG54">
        <f t="shared" si="100"/>
        <v>2672.3591777290849</v>
      </c>
      <c r="NH54">
        <f t="shared" si="100"/>
        <v>2679.8208888011259</v>
      </c>
      <c r="NI54">
        <f t="shared" si="100"/>
        <v>2687.2832635278264</v>
      </c>
      <c r="NJ54">
        <f t="shared" si="100"/>
        <v>2694.746303816507</v>
      </c>
      <c r="NK54">
        <f t="shared" si="100"/>
        <v>2702.2100115751541</v>
      </c>
      <c r="NL54">
        <f t="shared" si="100"/>
        <v>2709.6743887124217</v>
      </c>
      <c r="NM54">
        <f t="shared" si="100"/>
        <v>2717.1394371376314</v>
      </c>
      <c r="NN54">
        <f t="shared" si="100"/>
        <v>2724.6051587607762</v>
      </c>
      <c r="NO54">
        <f t="shared" si="100"/>
        <v>2732.07155549252</v>
      </c>
      <c r="NP54">
        <f t="shared" si="101"/>
        <v>2739.5386292442035</v>
      </c>
      <c r="NQ54">
        <f t="shared" si="101"/>
        <v>2747.0063819278416</v>
      </c>
      <c r="NR54">
        <f t="shared" si="101"/>
        <v>2754.474815456133</v>
      </c>
      <c r="NS54">
        <f t="shared" si="101"/>
        <v>2761.9439317424499</v>
      </c>
      <c r="NT54">
        <f t="shared" si="101"/>
        <v>2769.4137327008521</v>
      </c>
      <c r="NU54">
        <f t="shared" si="101"/>
        <v>2776.8842202460824</v>
      </c>
      <c r="NV54">
        <f t="shared" si="101"/>
        <v>2784.3553962935703</v>
      </c>
      <c r="NW54">
        <f t="shared" si="101"/>
        <v>2791.8272627594347</v>
      </c>
      <c r="NX54">
        <f t="shared" si="101"/>
        <v>2799.2998215604848</v>
      </c>
      <c r="NY54">
        <f t="shared" si="101"/>
        <v>2806.7730746142206</v>
      </c>
      <c r="NZ54">
        <f t="shared" si="102"/>
        <v>2814.2470238388414</v>
      </c>
      <c r="OA54">
        <f t="shared" si="102"/>
        <v>2821.7216711532383</v>
      </c>
      <c r="OB54">
        <f t="shared" si="102"/>
        <v>2829.1970184770048</v>
      </c>
      <c r="OC54">
        <f t="shared" si="102"/>
        <v>2836.6730677304317</v>
      </c>
      <c r="OD54">
        <f t="shared" si="102"/>
        <v>2844.149820834516</v>
      </c>
      <c r="OE54">
        <f t="shared" si="102"/>
        <v>2851.6272797109573</v>
      </c>
      <c r="OF54">
        <f t="shared" si="102"/>
        <v>2859.1054462821639</v>
      </c>
      <c r="OG54">
        <f t="shared" si="102"/>
        <v>2866.5843224712507</v>
      </c>
      <c r="OH54">
        <f t="shared" si="102"/>
        <v>2874.0639102020455</v>
      </c>
      <c r="OI54">
        <f t="shared" si="102"/>
        <v>2881.5442113990866</v>
      </c>
      <c r="OJ54">
        <f t="shared" si="103"/>
        <v>2889.0252279876308</v>
      </c>
      <c r="OK54">
        <f t="shared" si="103"/>
        <v>2896.5069618936482</v>
      </c>
      <c r="OL54">
        <f t="shared" si="103"/>
        <v>2903.9894150438304</v>
      </c>
      <c r="OM54">
        <f t="shared" si="103"/>
        <v>2911.4725893655891</v>
      </c>
      <c r="ON54">
        <f t="shared" si="103"/>
        <v>2918.9564867870586</v>
      </c>
      <c r="OO54">
        <f t="shared" si="103"/>
        <v>2926.4411092371006</v>
      </c>
      <c r="OP54">
        <f t="shared" si="103"/>
        <v>2933.926458645301</v>
      </c>
      <c r="OQ54">
        <f t="shared" si="103"/>
        <v>2941.4125369419748</v>
      </c>
      <c r="OR54">
        <f t="shared" si="103"/>
        <v>2948.8993460581723</v>
      </c>
      <c r="OS54">
        <f t="shared" si="103"/>
        <v>2956.3868879256725</v>
      </c>
      <c r="OT54">
        <f t="shared" si="104"/>
        <v>2963.8751644769923</v>
      </c>
      <c r="OU54">
        <f t="shared" si="104"/>
        <v>2971.3641776453842</v>
      </c>
      <c r="OV54">
        <f t="shared" si="104"/>
        <v>2978.8539293648437</v>
      </c>
      <c r="OW54">
        <f t="shared" si="104"/>
        <v>2986.344421570102</v>
      </c>
      <c r="OX54">
        <f t="shared" si="104"/>
        <v>2993.8356561966398</v>
      </c>
      <c r="OY54">
        <f t="shared" si="104"/>
        <v>3001.327635180678</v>
      </c>
      <c r="OZ54">
        <f t="shared" si="104"/>
        <v>3008.8203604591909</v>
      </c>
      <c r="PA54">
        <f t="shared" si="104"/>
        <v>3016.3138339698962</v>
      </c>
      <c r="PB54">
        <f t="shared" si="104"/>
        <v>3023.8080576512689</v>
      </c>
      <c r="PC54">
        <f t="shared" si="104"/>
        <v>3031.303033442533</v>
      </c>
      <c r="PD54">
        <f t="shared" si="105"/>
        <v>3038.7987632836735</v>
      </c>
      <c r="PE54">
        <f t="shared" si="105"/>
        <v>3046.2952491154283</v>
      </c>
      <c r="PF54">
        <f t="shared" si="105"/>
        <v>3053.7924928792982</v>
      </c>
      <c r="PG54">
        <f t="shared" si="105"/>
        <v>3061.2904965175467</v>
      </c>
      <c r="PH54">
        <f t="shared" si="105"/>
        <v>3068.7892619731983</v>
      </c>
      <c r="PI54">
        <f t="shared" si="105"/>
        <v>3076.2887911900466</v>
      </c>
      <c r="PJ54">
        <f t="shared" si="105"/>
        <v>3083.7890861126502</v>
      </c>
      <c r="PK54">
        <f t="shared" si="105"/>
        <v>3091.2901486863448</v>
      </c>
      <c r="PL54">
        <f t="shared" si="105"/>
        <v>3098.7919808572296</v>
      </c>
      <c r="PM54">
        <f t="shared" si="105"/>
        <v>3106.2945845721852</v>
      </c>
      <c r="PN54">
        <f t="shared" si="106"/>
        <v>3113.7979617788651</v>
      </c>
      <c r="PO54">
        <f t="shared" si="106"/>
        <v>3121.3021144257018</v>
      </c>
      <c r="PP54">
        <f t="shared" si="106"/>
        <v>3128.8070444619116</v>
      </c>
      <c r="PQ54">
        <f t="shared" si="106"/>
        <v>3136.3127538374874</v>
      </c>
      <c r="PR54">
        <f t="shared" si="106"/>
        <v>3143.8192445032141</v>
      </c>
      <c r="PS54">
        <f t="shared" si="106"/>
        <v>3151.326518410659</v>
      </c>
      <c r="PT54">
        <f t="shared" si="106"/>
        <v>3158.8345775121816</v>
      </c>
      <c r="PU54">
        <f t="shared" si="106"/>
        <v>3166.3434237609285</v>
      </c>
      <c r="PV54">
        <f t="shared" si="106"/>
        <v>3173.8530591108429</v>
      </c>
      <c r="PW54">
        <f t="shared" si="106"/>
        <v>3181.3634855166601</v>
      </c>
      <c r="PX54">
        <f t="shared" si="107"/>
        <v>3188.8747049339186</v>
      </c>
      <c r="PY54">
        <f t="shared" si="107"/>
        <v>3196.3867193189508</v>
      </c>
      <c r="PZ54">
        <f t="shared" si="107"/>
        <v>3203.8995306288921</v>
      </c>
      <c r="QA54">
        <f t="shared" si="107"/>
        <v>3211.4131408216826</v>
      </c>
      <c r="QB54">
        <f t="shared" si="107"/>
        <v>3218.9275518560698</v>
      </c>
      <c r="QC54">
        <f t="shared" si="107"/>
        <v>3226.4427656916055</v>
      </c>
      <c r="QD54">
        <f t="shared" si="107"/>
        <v>3233.9587842886517</v>
      </c>
      <c r="QE54">
        <f t="shared" si="107"/>
        <v>3241.4756096083865</v>
      </c>
      <c r="QF54">
        <f t="shared" si="107"/>
        <v>3248.9932436127988</v>
      </c>
      <c r="QG54">
        <f t="shared" si="107"/>
        <v>3256.5116882646971</v>
      </c>
      <c r="QH54">
        <f t="shared" si="108"/>
        <v>3264.0309455277024</v>
      </c>
      <c r="QI54">
        <f t="shared" si="108"/>
        <v>3271.5510173662619</v>
      </c>
      <c r="QJ54">
        <f t="shared" si="108"/>
        <v>3279.071905745644</v>
      </c>
      <c r="QK54">
        <f t="shared" si="108"/>
        <v>3286.5936126319421</v>
      </c>
      <c r="QL54">
        <f t="shared" si="108"/>
        <v>3294.1161399920743</v>
      </c>
      <c r="QM54">
        <f t="shared" si="108"/>
        <v>3301.6394897937903</v>
      </c>
      <c r="QN54">
        <f t="shared" si="108"/>
        <v>3309.1636640056695</v>
      </c>
      <c r="QO54">
        <f t="shared" si="108"/>
        <v>3316.6886645971281</v>
      </c>
      <c r="QP54">
        <f t="shared" si="108"/>
        <v>3324.2144935384117</v>
      </c>
      <c r="QQ54">
        <f t="shared" si="108"/>
        <v>3331.7411528006069</v>
      </c>
      <c r="QR54">
        <f t="shared" si="109"/>
        <v>3339.2686443556422</v>
      </c>
      <c r="QS54">
        <f t="shared" si="109"/>
        <v>3346.7969701762827</v>
      </c>
      <c r="QT54">
        <f t="shared" si="109"/>
        <v>3354.3261322361432</v>
      </c>
      <c r="QU54">
        <f t="shared" si="109"/>
        <v>3361.8561325096789</v>
      </c>
      <c r="QV54">
        <f t="shared" si="109"/>
        <v>3369.3869729721973</v>
      </c>
      <c r="QW54">
        <f t="shared" si="109"/>
        <v>3376.9186555998549</v>
      </c>
      <c r="QX54">
        <f t="shared" si="109"/>
        <v>3384.4511823696648</v>
      </c>
      <c r="QY54">
        <f t="shared" si="109"/>
        <v>3391.9845552594793</v>
      </c>
      <c r="QZ54">
        <f t="shared" si="109"/>
        <v>3399.5187762480291</v>
      </c>
      <c r="RA54">
        <f t="shared" si="109"/>
        <v>3407.0538473148918</v>
      </c>
      <c r="RB54">
        <f t="shared" si="110"/>
        <v>3414.5897704405106</v>
      </c>
      <c r="RC54">
        <f t="shared" si="110"/>
        <v>3422.1265476061794</v>
      </c>
      <c r="RD54">
        <f t="shared" si="110"/>
        <v>3429.6641807940755</v>
      </c>
      <c r="RE54">
        <f t="shared" si="110"/>
        <v>3437.2026719872356</v>
      </c>
      <c r="RF54">
        <f t="shared" si="110"/>
        <v>3444.7420231695678</v>
      </c>
      <c r="RG54">
        <f t="shared" si="110"/>
        <v>3452.2822363258401</v>
      </c>
      <c r="RH54">
        <f t="shared" si="110"/>
        <v>3459.823313441716</v>
      </c>
      <c r="RI54">
        <f t="shared" si="110"/>
        <v>3467.3652565037205</v>
      </c>
      <c r="RJ54">
        <f t="shared" si="110"/>
        <v>3474.9080674992638</v>
      </c>
      <c r="RK54">
        <f t="shared" si="110"/>
        <v>3482.4517484166226</v>
      </c>
      <c r="RL54">
        <f t="shared" si="111"/>
        <v>3489.996301244978</v>
      </c>
      <c r="RM54">
        <f t="shared" si="111"/>
        <v>3497.5417279743797</v>
      </c>
      <c r="RN54">
        <f t="shared" si="111"/>
        <v>3505.088030595778</v>
      </c>
      <c r="RO54">
        <f t="shared" si="111"/>
        <v>3512.6352111009883</v>
      </c>
      <c r="RP54">
        <f t="shared" si="111"/>
        <v>3520.1832714827478</v>
      </c>
      <c r="RQ54">
        <f t="shared" si="111"/>
        <v>3527.7322137346659</v>
      </c>
      <c r="RR54">
        <f t="shared" si="111"/>
        <v>3535.2820398512604</v>
      </c>
      <c r="RS54">
        <f t="shared" si="111"/>
        <v>3542.8327518279293</v>
      </c>
      <c r="RT54">
        <f t="shared" si="111"/>
        <v>3550.3843516609936</v>
      </c>
      <c r="RU54">
        <f t="shared" si="111"/>
        <v>3557.9368413476664</v>
      </c>
      <c r="RV54">
        <f t="shared" si="112"/>
        <v>3565.4902228860551</v>
      </c>
      <c r="RW54">
        <f t="shared" si="112"/>
        <v>3573.0444982751869</v>
      </c>
      <c r="RX54">
        <f t="shared" si="112"/>
        <v>3580.5996695149934</v>
      </c>
      <c r="RY54">
        <f t="shared" si="112"/>
        <v>3588.1557386063268</v>
      </c>
      <c r="RZ54">
        <f t="shared" si="112"/>
        <v>3595.7127075509316</v>
      </c>
      <c r="SA54">
        <f t="shared" si="112"/>
        <v>3603.2705783514843</v>
      </c>
      <c r="SB54">
        <f t="shared" si="112"/>
        <v>3610.8293530115716</v>
      </c>
      <c r="SC54">
        <f t="shared" si="112"/>
        <v>3618.3890335357123</v>
      </c>
      <c r="SD54">
        <f t="shared" si="112"/>
        <v>3625.9496219293278</v>
      </c>
      <c r="SE54">
        <f t="shared" si="112"/>
        <v>3633.5111201987775</v>
      </c>
      <c r="SF54">
        <f t="shared" si="113"/>
        <v>3641.0735303513393</v>
      </c>
      <c r="SG54">
        <f t="shared" si="113"/>
        <v>3648.6368543952367</v>
      </c>
      <c r="SH54">
        <f t="shared" si="113"/>
        <v>3656.2010943395976</v>
      </c>
      <c r="SI54">
        <f t="shared" si="113"/>
        <v>3663.7662521945026</v>
      </c>
      <c r="SJ54">
        <f t="shared" si="113"/>
        <v>3671.3323299709577</v>
      </c>
      <c r="SK54">
        <f t="shared" si="113"/>
        <v>3678.8993296809203</v>
      </c>
      <c r="SL54">
        <f t="shared" si="113"/>
        <v>3686.4672533372686</v>
      </c>
      <c r="SM54">
        <f t="shared" si="113"/>
        <v>3694.0361029538331</v>
      </c>
      <c r="SN54">
        <f t="shared" si="113"/>
        <v>3701.6058805453858</v>
      </c>
      <c r="SO54">
        <f t="shared" si="113"/>
        <v>3709.1765881276533</v>
      </c>
      <c r="SP54">
        <f t="shared" si="114"/>
        <v>3716.7482277173003</v>
      </c>
      <c r="SQ54">
        <f t="shared" si="114"/>
        <v>3724.3208013319468</v>
      </c>
      <c r="SR54">
        <f t="shared" si="114"/>
        <v>3731.8943109901643</v>
      </c>
      <c r="SS54">
        <f t="shared" si="114"/>
        <v>3739.4687587114813</v>
      </c>
      <c r="ST54">
        <f t="shared" si="114"/>
        <v>3747.0441465163822</v>
      </c>
      <c r="SU54">
        <f t="shared" si="114"/>
        <v>3754.6204764263125</v>
      </c>
      <c r="SV54">
        <f t="shared" si="114"/>
        <v>3762.1977504636816</v>
      </c>
      <c r="SW54">
        <f t="shared" si="114"/>
        <v>3769.7759706518582</v>
      </c>
      <c r="SX54">
        <f t="shared" si="114"/>
        <v>3777.3551390151815</v>
      </c>
      <c r="SY54">
        <f t="shared" si="114"/>
        <v>3784.935257578958</v>
      </c>
      <c r="SZ54">
        <f t="shared" si="115"/>
        <v>3792.5163283694665</v>
      </c>
      <c r="TA54">
        <f t="shared" si="115"/>
        <v>3800.0983534139577</v>
      </c>
      <c r="TB54">
        <f t="shared" si="115"/>
        <v>3807.6813347406578</v>
      </c>
      <c r="TC54">
        <f t="shared" si="115"/>
        <v>3815.2652743787712</v>
      </c>
      <c r="TD54">
        <f t="shared" si="115"/>
        <v>3822.8501743584834</v>
      </c>
      <c r="TE54">
        <f t="shared" si="115"/>
        <v>3830.4360367109612</v>
      </c>
      <c r="TF54">
        <f t="shared" si="115"/>
        <v>3838.0228634683554</v>
      </c>
      <c r="TG54">
        <f t="shared" si="115"/>
        <v>3845.6106566638045</v>
      </c>
      <c r="TH54">
        <f t="shared" si="115"/>
        <v>3853.1994183314359</v>
      </c>
      <c r="TI54">
        <f t="shared" si="115"/>
        <v>3860.789150506369</v>
      </c>
      <c r="TJ54">
        <f t="shared" si="116"/>
        <v>3868.3798552247135</v>
      </c>
      <c r="TK54">
        <f t="shared" si="116"/>
        <v>3875.9715345235809</v>
      </c>
      <c r="TL54">
        <f t="shared" si="116"/>
        <v>3883.5641904410768</v>
      </c>
      <c r="TM54">
        <f t="shared" si="116"/>
        <v>3891.1578250163075</v>
      </c>
      <c r="TN54">
        <f t="shared" si="116"/>
        <v>3898.7524402893823</v>
      </c>
      <c r="TO54">
        <f t="shared" si="116"/>
        <v>3906.3480383014157</v>
      </c>
      <c r="TP54">
        <f t="shared" si="116"/>
        <v>3913.9446210945316</v>
      </c>
      <c r="TQ54">
        <f t="shared" si="116"/>
        <v>3921.5421907118621</v>
      </c>
      <c r="TR54">
        <f t="shared" si="116"/>
        <v>3929.1407491975469</v>
      </c>
      <c r="TS54">
        <f t="shared" si="116"/>
        <v>3936.7402985967469</v>
      </c>
      <c r="TT54">
        <f t="shared" si="117"/>
        <v>3944.340840955635</v>
      </c>
      <c r="TU54">
        <f t="shared" si="117"/>
        <v>3951.9423783214042</v>
      </c>
      <c r="TV54">
        <f t="shared" si="117"/>
        <v>3959.5449127422689</v>
      </c>
      <c r="TW54">
        <f t="shared" si="117"/>
        <v>3967.1484462674662</v>
      </c>
      <c r="TX54">
        <f t="shared" si="117"/>
        <v>3974.7529809472594</v>
      </c>
      <c r="TY54">
        <f t="shared" si="117"/>
        <v>3982.3585188329389</v>
      </c>
      <c r="TZ54">
        <f t="shared" si="117"/>
        <v>3989.9650619768245</v>
      </c>
      <c r="UA54">
        <f t="shared" si="117"/>
        <v>3997.5726124322737</v>
      </c>
      <c r="UB54">
        <f t="shared" si="117"/>
        <v>4005.1811722536713</v>
      </c>
      <c r="UC54">
        <f t="shared" si="117"/>
        <v>4012.7907434964472</v>
      </c>
      <c r="UD54">
        <f t="shared" si="118"/>
        <v>4020.4013282170627</v>
      </c>
      <c r="UE54">
        <f t="shared" si="118"/>
        <v>4028.0129284730269</v>
      </c>
      <c r="UF54">
        <f t="shared" si="118"/>
        <v>4035.6255463228918</v>
      </c>
      <c r="UG54">
        <f t="shared" si="118"/>
        <v>4043.2391838262556</v>
      </c>
      <c r="UH54">
        <f t="shared" si="118"/>
        <v>4050.8538430437629</v>
      </c>
      <c r="UI54">
        <f t="shared" si="118"/>
        <v>4058.4695260371122</v>
      </c>
      <c r="UJ54">
        <f t="shared" si="118"/>
        <v>4066.0862348690553</v>
      </c>
      <c r="UK54">
        <f t="shared" si="118"/>
        <v>4073.703971603401</v>
      </c>
      <c r="UL54">
        <f t="shared" si="118"/>
        <v>4081.3227383050116</v>
      </c>
      <c r="UM54">
        <f t="shared" si="118"/>
        <v>4088.9425370398149</v>
      </c>
      <c r="UN54">
        <f t="shared" si="119"/>
        <v>4096.5633698747979</v>
      </c>
      <c r="UO54">
        <f t="shared" si="119"/>
        <v>4104.1852388780144</v>
      </c>
      <c r="UP54">
        <f t="shared" si="119"/>
        <v>4111.8081461185875</v>
      </c>
      <c r="UQ54">
        <f t="shared" si="119"/>
        <v>4119.4320936667064</v>
      </c>
      <c r="UR54">
        <f t="shared" si="119"/>
        <v>4127.0570835936323</v>
      </c>
      <c r="US54">
        <f t="shared" si="119"/>
        <v>4134.6831179717065</v>
      </c>
      <c r="UT54">
        <f t="shared" si="119"/>
        <v>4142.3101988743429</v>
      </c>
      <c r="UU54">
        <f t="shared" si="119"/>
        <v>4149.9383283760344</v>
      </c>
      <c r="UV54">
        <f t="shared" si="119"/>
        <v>4157.5675085523553</v>
      </c>
      <c r="UW54">
        <f t="shared" si="119"/>
        <v>4165.1977414799676</v>
      </c>
      <c r="UX54">
        <f t="shared" si="120"/>
        <v>4172.8290292366146</v>
      </c>
      <c r="UY54">
        <f t="shared" si="120"/>
        <v>4180.4613739011329</v>
      </c>
      <c r="UZ54">
        <f t="shared" si="120"/>
        <v>4188.0947775534451</v>
      </c>
      <c r="VA54">
        <f t="shared" si="120"/>
        <v>4195.7292422745722</v>
      </c>
      <c r="VB54">
        <f t="shared" si="120"/>
        <v>4203.3647701466307</v>
      </c>
      <c r="VC54">
        <f t="shared" si="120"/>
        <v>4211.0013632528289</v>
      </c>
      <c r="VD54">
        <f t="shared" si="120"/>
        <v>4218.6390236774832</v>
      </c>
      <c r="VE54">
        <f t="shared" si="120"/>
        <v>4226.2777535060077</v>
      </c>
      <c r="VF54">
        <f t="shared" si="120"/>
        <v>4233.9175548249277</v>
      </c>
      <c r="VG54">
        <f t="shared" si="120"/>
        <v>4241.5584297218702</v>
      </c>
      <c r="VH54">
        <f t="shared" si="121"/>
        <v>4249.2003802855743</v>
      </c>
      <c r="VI54">
        <f t="shared" si="121"/>
        <v>4256.8434086058915</v>
      </c>
      <c r="VJ54">
        <f t="shared" si="121"/>
        <v>4264.4875167737928</v>
      </c>
      <c r="VK54">
        <f t="shared" si="121"/>
        <v>4272.1327068813562</v>
      </c>
      <c r="VL54">
        <f t="shared" si="121"/>
        <v>4279.7789810217891</v>
      </c>
      <c r="VM54">
        <f t="shared" si="121"/>
        <v>4287.4263412894179</v>
      </c>
      <c r="VN54">
        <f t="shared" si="121"/>
        <v>4295.0747897796909</v>
      </c>
      <c r="VO54">
        <f t="shared" si="121"/>
        <v>4302.7243285891855</v>
      </c>
      <c r="VP54">
        <f t="shared" si="121"/>
        <v>4310.3749598156082</v>
      </c>
      <c r="VQ54">
        <f t="shared" si="121"/>
        <v>4318.0266855577984</v>
      </c>
      <c r="VR54">
        <f t="shared" si="122"/>
        <v>4325.6795079157264</v>
      </c>
      <c r="VS54">
        <f t="shared" si="122"/>
        <v>4333.3334289905033</v>
      </c>
      <c r="VT54">
        <f t="shared" si="122"/>
        <v>4340.9884508843734</v>
      </c>
      <c r="VU54">
        <f t="shared" si="122"/>
        <v>4348.6445757007295</v>
      </c>
      <c r="VV54">
        <f t="shared" si="122"/>
        <v>4356.3018055441016</v>
      </c>
      <c r="VW54">
        <f t="shared" si="122"/>
        <v>4363.9601425201708</v>
      </c>
      <c r="VX54">
        <f t="shared" si="122"/>
        <v>4371.6195887357608</v>
      </c>
      <c r="VY54">
        <f t="shared" si="122"/>
        <v>4379.2801462988555</v>
      </c>
      <c r="VZ54">
        <f t="shared" si="122"/>
        <v>4386.9418173185823</v>
      </c>
      <c r="WA54">
        <f t="shared" si="122"/>
        <v>4394.6046039052344</v>
      </c>
      <c r="WB54">
        <f t="shared" si="123"/>
        <v>4402.2685081702557</v>
      </c>
      <c r="WC54">
        <f t="shared" si="123"/>
        <v>4409.9335322262505</v>
      </c>
      <c r="WD54">
        <f t="shared" si="123"/>
        <v>4417.5996781869935</v>
      </c>
      <c r="WE54">
        <f t="shared" si="123"/>
        <v>4425.2669481674211</v>
      </c>
      <c r="WF54">
        <f t="shared" si="123"/>
        <v>4432.9353442836345</v>
      </c>
      <c r="WG54">
        <f t="shared" si="123"/>
        <v>4440.6048686529102</v>
      </c>
      <c r="WH54">
        <f t="shared" si="123"/>
        <v>4448.2755233936969</v>
      </c>
      <c r="WI54">
        <f t="shared" si="123"/>
        <v>4455.9473106256191</v>
      </c>
      <c r="WJ54">
        <f t="shared" si="123"/>
        <v>4463.620232469475</v>
      </c>
      <c r="WK54">
        <f t="shared" si="123"/>
        <v>4471.2942910472493</v>
      </c>
      <c r="WL54">
        <f t="shared" si="124"/>
        <v>4478.9694884821056</v>
      </c>
      <c r="WM54">
        <f t="shared" si="124"/>
        <v>4486.6458268983952</v>
      </c>
      <c r="WN54">
        <f t="shared" si="124"/>
        <v>4494.3233084216572</v>
      </c>
    </row>
    <row r="55" spans="2:612" x14ac:dyDescent="0.25">
      <c r="B55">
        <v>8</v>
      </c>
      <c r="C55">
        <f>C54+0.8</f>
        <v>2.3375000000000004</v>
      </c>
      <c r="D55">
        <v>1.06</v>
      </c>
      <c r="J55">
        <f>(($C54+0.4)*TAN(RADIANS(J$47))*$D55*0.8*1000*9.8*$C55)+((0.8*TAN(RADIANS(J$47)))*0.8/2*$D55*1000*9.8)*($C55+0.8/6)</f>
        <v>16.004833195475161</v>
      </c>
      <c r="K55">
        <f t="shared" si="80"/>
        <v>32.009670291231899</v>
      </c>
      <c r="L55">
        <f t="shared" si="80"/>
        <v>48.014515187555617</v>
      </c>
      <c r="M55">
        <f t="shared" si="80"/>
        <v>64.019371784739292</v>
      </c>
      <c r="N55">
        <f t="shared" si="80"/>
        <v>80.024243983087345</v>
      </c>
      <c r="O55">
        <f t="shared" si="80"/>
        <v>96.029135682919346</v>
      </c>
      <c r="P55">
        <f t="shared" si="80"/>
        <v>112.03405078457394</v>
      </c>
      <c r="Q55">
        <f t="shared" si="80"/>
        <v>128.03899318841255</v>
      </c>
      <c r="R55">
        <f t="shared" si="80"/>
        <v>144.04396679482318</v>
      </c>
      <c r="S55">
        <f t="shared" si="80"/>
        <v>160.0489755042243</v>
      </c>
      <c r="T55">
        <f t="shared" si="80"/>
        <v>176.05402321706865</v>
      </c>
      <c r="U55">
        <f t="shared" si="80"/>
        <v>192.05911383384682</v>
      </c>
      <c r="V55">
        <f t="shared" si="80"/>
        <v>208.06425125509148</v>
      </c>
      <c r="W55">
        <f t="shared" si="80"/>
        <v>224.06943938138062</v>
      </c>
      <c r="X55">
        <f t="shared" si="80"/>
        <v>240.07468211334174</v>
      </c>
      <c r="Y55">
        <f t="shared" si="80"/>
        <v>256.07998335165593</v>
      </c>
      <c r="Z55">
        <f t="shared" si="80"/>
        <v>272.08534699706075</v>
      </c>
      <c r="AA55">
        <f t="shared" si="80"/>
        <v>288.09077695035495</v>
      </c>
      <c r="AB55">
        <f t="shared" si="80"/>
        <v>304.09627711240199</v>
      </c>
      <c r="AC55">
        <f t="shared" si="80"/>
        <v>320.10185138413345</v>
      </c>
      <c r="AD55">
        <f t="shared" si="80"/>
        <v>336.10750366655321</v>
      </c>
      <c r="AE55">
        <f t="shared" si="80"/>
        <v>352.11323786074161</v>
      </c>
      <c r="AF55">
        <f t="shared" si="80"/>
        <v>368.11905786785837</v>
      </c>
      <c r="AG55">
        <f t="shared" si="80"/>
        <v>384.12496758914699</v>
      </c>
      <c r="AH55">
        <f t="shared" si="80"/>
        <v>400.13097092593875</v>
      </c>
      <c r="AI55">
        <f t="shared" si="80"/>
        <v>416.13707177965563</v>
      </c>
      <c r="AJ55">
        <f t="shared" si="80"/>
        <v>432.14327405181507</v>
      </c>
      <c r="AK55">
        <f t="shared" si="80"/>
        <v>448.14958164403333</v>
      </c>
      <c r="AL55">
        <f t="shared" si="80"/>
        <v>464.1559984580291</v>
      </c>
      <c r="AM55">
        <f t="shared" si="80"/>
        <v>480.16252839562799</v>
      </c>
      <c r="AN55">
        <f t="shared" si="80"/>
        <v>496.1691753587657</v>
      </c>
      <c r="AO55">
        <f t="shared" si="80"/>
        <v>512.17594324949175</v>
      </c>
      <c r="AP55">
        <f t="shared" si="80"/>
        <v>528.18283596997401</v>
      </c>
      <c r="AQ55">
        <f t="shared" si="80"/>
        <v>544.18985742250186</v>
      </c>
      <c r="AR55">
        <f t="shared" si="80"/>
        <v>560.1970115094897</v>
      </c>
      <c r="AS55">
        <f t="shared" si="80"/>
        <v>576.2043021334822</v>
      </c>
      <c r="AT55">
        <f t="shared" si="80"/>
        <v>592.21173319715649</v>
      </c>
      <c r="AU55">
        <f t="shared" si="80"/>
        <v>608.21930860332702</v>
      </c>
      <c r="AV55">
        <f t="shared" si="80"/>
        <v>624.22703225494831</v>
      </c>
      <c r="AW55">
        <f t="shared" si="80"/>
        <v>640.23490805512029</v>
      </c>
      <c r="AX55">
        <f t="shared" si="80"/>
        <v>656.24293990709054</v>
      </c>
      <c r="AY55">
        <f t="shared" si="80"/>
        <v>672.25113171425949</v>
      </c>
      <c r="AZ55">
        <f t="shared" si="80"/>
        <v>688.25948738018246</v>
      </c>
      <c r="BA55">
        <f t="shared" si="80"/>
        <v>704.26801080857592</v>
      </c>
      <c r="BB55">
        <f t="shared" si="80"/>
        <v>720.276705903319</v>
      </c>
      <c r="BC55">
        <f t="shared" si="80"/>
        <v>736.28557656845828</v>
      </c>
      <c r="BD55">
        <f t="shared" si="80"/>
        <v>752.29462670821158</v>
      </c>
      <c r="BE55">
        <f t="shared" si="80"/>
        <v>768.30386022697235</v>
      </c>
      <c r="BF55">
        <f t="shared" si="80"/>
        <v>784.31328102931229</v>
      </c>
      <c r="BG55">
        <f t="shared" si="80"/>
        <v>800.32289301998549</v>
      </c>
      <c r="BH55">
        <f t="shared" si="80"/>
        <v>816.33270010393301</v>
      </c>
      <c r="BI55">
        <f t="shared" si="80"/>
        <v>832.34270618628636</v>
      </c>
      <c r="BJ55">
        <f t="shared" si="80"/>
        <v>848.3529151723701</v>
      </c>
      <c r="BK55">
        <f t="shared" si="80"/>
        <v>864.36333096770761</v>
      </c>
      <c r="BL55">
        <f t="shared" si="80"/>
        <v>880.37395747802418</v>
      </c>
      <c r="BM55">
        <f t="shared" si="80"/>
        <v>896.38479860924929</v>
      </c>
      <c r="BN55">
        <f t="shared" si="80"/>
        <v>912.39585826752273</v>
      </c>
      <c r="BO55">
        <f t="shared" si="80"/>
        <v>928.40714035919768</v>
      </c>
      <c r="BP55">
        <f t="shared" si="80"/>
        <v>944.41864879084392</v>
      </c>
      <c r="BQ55">
        <f t="shared" si="80"/>
        <v>960.43038746925129</v>
      </c>
      <c r="BR55">
        <f t="shared" si="80"/>
        <v>976.44236030143588</v>
      </c>
      <c r="BS55">
        <f t="shared" si="80"/>
        <v>992.45457119463958</v>
      </c>
      <c r="BT55">
        <f t="shared" si="80"/>
        <v>1008.4670240563395</v>
      </c>
      <c r="BU55">
        <f t="shared" si="80"/>
        <v>1024.4797227942468</v>
      </c>
      <c r="BV55">
        <f t="shared" si="80"/>
        <v>1040.4926713163129</v>
      </c>
      <c r="BW55">
        <f t="shared" si="81"/>
        <v>1056.5058735307332</v>
      </c>
      <c r="BX55">
        <f t="shared" si="81"/>
        <v>1072.5193333459506</v>
      </c>
      <c r="BY55">
        <f t="shared" si="81"/>
        <v>1088.5330546706589</v>
      </c>
      <c r="BZ55">
        <f t="shared" si="81"/>
        <v>1104.5470414138067</v>
      </c>
      <c r="CA55">
        <f t="shared" si="81"/>
        <v>1120.5612974846028</v>
      </c>
      <c r="CB55">
        <f t="shared" si="81"/>
        <v>1136.575826792518</v>
      </c>
      <c r="CC55">
        <f t="shared" si="81"/>
        <v>1152.5906332472894</v>
      </c>
      <c r="CD55">
        <f t="shared" si="81"/>
        <v>1168.6057207589254</v>
      </c>
      <c r="CE55">
        <f t="shared" si="81"/>
        <v>1184.6210932377069</v>
      </c>
      <c r="CF55">
        <f t="shared" si="81"/>
        <v>1200.6367545941953</v>
      </c>
      <c r="CG55">
        <f t="shared" si="81"/>
        <v>1216.6527087392315</v>
      </c>
      <c r="CH55">
        <f t="shared" si="81"/>
        <v>1232.6689595839439</v>
      </c>
      <c r="CI55">
        <f t="shared" si="81"/>
        <v>1248.6855110397496</v>
      </c>
      <c r="CJ55">
        <f t="shared" si="81"/>
        <v>1264.7023670183589</v>
      </c>
      <c r="CK55">
        <f t="shared" si="81"/>
        <v>1280.7195314317794</v>
      </c>
      <c r="CL55">
        <f t="shared" si="81"/>
        <v>1296.7370081923204</v>
      </c>
      <c r="CM55">
        <f t="shared" si="81"/>
        <v>1312.7548012125942</v>
      </c>
      <c r="CN55">
        <f t="shared" si="81"/>
        <v>1328.7729144055243</v>
      </c>
      <c r="CO55">
        <f t="shared" si="81"/>
        <v>1344.7913516843455</v>
      </c>
      <c r="CP55">
        <f t="shared" si="81"/>
        <v>1360.8101169626075</v>
      </c>
      <c r="CQ55">
        <f t="shared" si="81"/>
        <v>1376.829214154182</v>
      </c>
      <c r="CR55">
        <f t="shared" si="81"/>
        <v>1392.8486471732642</v>
      </c>
      <c r="CS55">
        <f t="shared" si="81"/>
        <v>1408.8684199343772</v>
      </c>
      <c r="CT55">
        <f t="shared" si="81"/>
        <v>1424.888536352375</v>
      </c>
      <c r="CU55">
        <f t="shared" si="81"/>
        <v>1440.9090003424478</v>
      </c>
      <c r="CV55">
        <f t="shared" si="81"/>
        <v>1456.929815820125</v>
      </c>
      <c r="CW55">
        <f t="shared" si="81"/>
        <v>1472.9509867012789</v>
      </c>
      <c r="CX55">
        <f t="shared" si="81"/>
        <v>1488.9725169021285</v>
      </c>
      <c r="CY55">
        <f t="shared" si="81"/>
        <v>1504.9944103392447</v>
      </c>
      <c r="CZ55">
        <f t="shared" si="81"/>
        <v>1521.016670929552</v>
      </c>
      <c r="DA55">
        <f t="shared" si="81"/>
        <v>1537.0393025903329</v>
      </c>
      <c r="DB55">
        <f t="shared" si="81"/>
        <v>1553.0623092392341</v>
      </c>
      <c r="DC55">
        <f t="shared" si="81"/>
        <v>1569.0856947942671</v>
      </c>
      <c r="DD55">
        <f t="shared" si="81"/>
        <v>1585.1094631738133</v>
      </c>
      <c r="DE55">
        <f t="shared" si="81"/>
        <v>1601.1336182966279</v>
      </c>
      <c r="DF55">
        <f t="shared" si="81"/>
        <v>1617.1581640818449</v>
      </c>
      <c r="DG55">
        <f t="shared" si="81"/>
        <v>1633.1831044489777</v>
      </c>
      <c r="DH55">
        <f t="shared" si="81"/>
        <v>1649.208443317928</v>
      </c>
      <c r="DI55">
        <f t="shared" si="81"/>
        <v>1665.2341846089839</v>
      </c>
      <c r="DJ55">
        <f t="shared" si="81"/>
        <v>1681.2603322428286</v>
      </c>
      <c r="DK55">
        <f t="shared" si="81"/>
        <v>1697.2868901405402</v>
      </c>
      <c r="DL55">
        <f t="shared" si="81"/>
        <v>1713.3138622235983</v>
      </c>
      <c r="DM55">
        <f t="shared" si="81"/>
        <v>1729.3412524138894</v>
      </c>
      <c r="DN55">
        <f t="shared" si="81"/>
        <v>1745.3690646337043</v>
      </c>
      <c r="DO55">
        <f t="shared" si="81"/>
        <v>1761.397302805749</v>
      </c>
      <c r="DP55">
        <f t="shared" si="81"/>
        <v>1777.4259708531442</v>
      </c>
      <c r="DQ55">
        <f t="shared" si="81"/>
        <v>1793.4550726994314</v>
      </c>
      <c r="DR55">
        <f t="shared" si="81"/>
        <v>1809.484612268576</v>
      </c>
      <c r="DS55">
        <f t="shared" si="81"/>
        <v>1825.5145934849693</v>
      </c>
      <c r="DT55">
        <f t="shared" si="81"/>
        <v>1841.5450202734373</v>
      </c>
      <c r="DU55">
        <f t="shared" si="81"/>
        <v>1857.5758965592381</v>
      </c>
      <c r="DV55">
        <f t="shared" si="81"/>
        <v>1873.6072262680714</v>
      </c>
      <c r="DW55">
        <f t="shared" si="81"/>
        <v>1889.6390133260784</v>
      </c>
      <c r="DX55">
        <f t="shared" si="81"/>
        <v>1905.6712616598479</v>
      </c>
      <c r="DY55">
        <f t="shared" si="81"/>
        <v>1921.7039751964196</v>
      </c>
      <c r="DZ55">
        <f t="shared" si="81"/>
        <v>1937.7371578632878</v>
      </c>
      <c r="EA55">
        <f t="shared" si="81"/>
        <v>1953.7708135884052</v>
      </c>
      <c r="EB55">
        <f t="shared" si="81"/>
        <v>1969.8049463001862</v>
      </c>
      <c r="EC55">
        <f t="shared" si="81"/>
        <v>1985.8395599275125</v>
      </c>
      <c r="ED55">
        <f t="shared" si="81"/>
        <v>2001.8746583997358</v>
      </c>
      <c r="EE55">
        <f t="shared" si="81"/>
        <v>2017.910245646681</v>
      </c>
      <c r="EF55">
        <f t="shared" si="81"/>
        <v>2033.9463255986511</v>
      </c>
      <c r="EG55">
        <f t="shared" si="81"/>
        <v>2049.9829021864316</v>
      </c>
      <c r="EH55">
        <f t="shared" si="81"/>
        <v>2066.0199793412917</v>
      </c>
      <c r="EI55">
        <f t="shared" si="82"/>
        <v>2082.0575609949919</v>
      </c>
      <c r="EJ55">
        <f t="shared" si="82"/>
        <v>2098.0956510797851</v>
      </c>
      <c r="EK55">
        <f t="shared" si="82"/>
        <v>2114.1342535284211</v>
      </c>
      <c r="EL55">
        <f t="shared" si="82"/>
        <v>2130.173372274151</v>
      </c>
      <c r="EM55">
        <f t="shared" si="82"/>
        <v>2146.2130112507316</v>
      </c>
      <c r="EN55">
        <f t="shared" si="82"/>
        <v>2162.2531743924264</v>
      </c>
      <c r="EO55">
        <f t="shared" si="82"/>
        <v>2178.2938656340143</v>
      </c>
      <c r="EP55">
        <f t="shared" si="82"/>
        <v>2194.3350889107874</v>
      </c>
      <c r="EQ55">
        <f t="shared" si="82"/>
        <v>2210.3768481585612</v>
      </c>
      <c r="ER55">
        <f t="shared" si="82"/>
        <v>2226.4191473136743</v>
      </c>
      <c r="ES55">
        <f t="shared" si="82"/>
        <v>2242.4619903129933</v>
      </c>
      <c r="ET55">
        <f t="shared" si="82"/>
        <v>2258.5053810939153</v>
      </c>
      <c r="EU55">
        <f t="shared" si="82"/>
        <v>2274.5493235943768</v>
      </c>
      <c r="EV55">
        <f t="shared" si="82"/>
        <v>2290.5938217528515</v>
      </c>
      <c r="EW55">
        <f t="shared" si="82"/>
        <v>2306.6388795083558</v>
      </c>
      <c r="EX55">
        <f t="shared" si="82"/>
        <v>2322.684500800458</v>
      </c>
      <c r="EY55">
        <f t="shared" si="82"/>
        <v>2338.7306895692718</v>
      </c>
      <c r="EZ55">
        <f t="shared" si="82"/>
        <v>2354.7774497554715</v>
      </c>
      <c r="FA55">
        <f t="shared" si="82"/>
        <v>2370.8247853002881</v>
      </c>
      <c r="FB55">
        <f t="shared" si="82"/>
        <v>2386.872700145515</v>
      </c>
      <c r="FC55">
        <f t="shared" si="82"/>
        <v>2402.9211982335146</v>
      </c>
      <c r="FD55">
        <f t="shared" si="82"/>
        <v>2418.9702835072185</v>
      </c>
      <c r="FE55">
        <f t="shared" si="82"/>
        <v>2435.0199599101334</v>
      </c>
      <c r="FF55">
        <f t="shared" si="82"/>
        <v>2451.0702313863453</v>
      </c>
      <c r="FG55">
        <f t="shared" si="82"/>
        <v>2467.1211018805225</v>
      </c>
      <c r="FH55">
        <f t="shared" si="82"/>
        <v>2483.1725753379187</v>
      </c>
      <c r="FI55">
        <f t="shared" si="82"/>
        <v>2499.2246557043786</v>
      </c>
      <c r="FJ55">
        <f t="shared" si="82"/>
        <v>2515.2773469263416</v>
      </c>
      <c r="FK55">
        <f t="shared" si="82"/>
        <v>2531.3306529508454</v>
      </c>
      <c r="FL55">
        <f t="shared" si="82"/>
        <v>2547.3845777255278</v>
      </c>
      <c r="FM55">
        <f t="shared" si="82"/>
        <v>2563.4391251986349</v>
      </c>
      <c r="FN55">
        <f t="shared" si="82"/>
        <v>2579.4942993190207</v>
      </c>
      <c r="FO55">
        <f t="shared" si="82"/>
        <v>2595.5501040361537</v>
      </c>
      <c r="FP55">
        <f t="shared" si="82"/>
        <v>2611.6065433001199</v>
      </c>
      <c r="FQ55">
        <f t="shared" si="82"/>
        <v>2627.663621061628</v>
      </c>
      <c r="FR55">
        <f t="shared" si="82"/>
        <v>2643.7213412720089</v>
      </c>
      <c r="FS55">
        <f t="shared" si="82"/>
        <v>2659.7797078832273</v>
      </c>
      <c r="FT55">
        <f t="shared" si="82"/>
        <v>2675.8387248478771</v>
      </c>
      <c r="FU55">
        <f t="shared" si="82"/>
        <v>2691.8983961191925</v>
      </c>
      <c r="FV55">
        <f t="shared" si="82"/>
        <v>2707.9587256510454</v>
      </c>
      <c r="FW55">
        <f t="shared" si="82"/>
        <v>2724.0197173979564</v>
      </c>
      <c r="FX55">
        <f t="shared" si="82"/>
        <v>2740.0813753150915</v>
      </c>
      <c r="FY55">
        <f t="shared" si="82"/>
        <v>2756.1437033582724</v>
      </c>
      <c r="FZ55">
        <f t="shared" si="82"/>
        <v>2772.2067054839758</v>
      </c>
      <c r="GA55">
        <f t="shared" si="82"/>
        <v>2788.2703856493404</v>
      </c>
      <c r="GB55">
        <f t="shared" si="82"/>
        <v>2804.3347478121668</v>
      </c>
      <c r="GC55">
        <f t="shared" si="82"/>
        <v>2820.3997959309268</v>
      </c>
      <c r="GD55">
        <f t="shared" si="82"/>
        <v>2836.4655339647643</v>
      </c>
      <c r="GE55">
        <f t="shared" si="82"/>
        <v>2852.5319658734975</v>
      </c>
      <c r="GF55">
        <f t="shared" si="82"/>
        <v>2868.5990956176283</v>
      </c>
      <c r="GG55">
        <f t="shared" si="82"/>
        <v>2884.6669271583396</v>
      </c>
      <c r="GH55">
        <f t="shared" si="82"/>
        <v>2900.7354644575016</v>
      </c>
      <c r="GI55">
        <f t="shared" si="82"/>
        <v>2916.8047114776828</v>
      </c>
      <c r="GJ55">
        <f t="shared" si="82"/>
        <v>2932.8746721821394</v>
      </c>
      <c r="GK55">
        <f t="shared" si="82"/>
        <v>2948.9453505348329</v>
      </c>
      <c r="GL55">
        <f t="shared" si="82"/>
        <v>2965.0167505004279</v>
      </c>
      <c r="GM55">
        <f t="shared" si="82"/>
        <v>2981.0888760442954</v>
      </c>
      <c r="GN55">
        <f t="shared" si="82"/>
        <v>2997.1617311325199</v>
      </c>
      <c r="GO55">
        <f t="shared" si="82"/>
        <v>3013.2353197318971</v>
      </c>
      <c r="GP55">
        <f t="shared" si="82"/>
        <v>3029.3096458099494</v>
      </c>
      <c r="GQ55">
        <f t="shared" si="82"/>
        <v>3045.3847133349173</v>
      </c>
      <c r="GR55">
        <f t="shared" si="82"/>
        <v>3061.4605262757714</v>
      </c>
      <c r="GS55">
        <f t="shared" si="82"/>
        <v>3077.537088602211</v>
      </c>
      <c r="GT55">
        <f t="shared" si="82"/>
        <v>3093.6144042846749</v>
      </c>
      <c r="GU55">
        <f t="shared" si="83"/>
        <v>3109.6924772943357</v>
      </c>
      <c r="GV55">
        <f t="shared" si="83"/>
        <v>3125.7713116031155</v>
      </c>
      <c r="GW55">
        <f t="shared" si="83"/>
        <v>3141.8509111836802</v>
      </c>
      <c r="GX55">
        <f t="shared" si="83"/>
        <v>3157.9312800094449</v>
      </c>
      <c r="GY55">
        <f t="shared" si="83"/>
        <v>3174.012422054584</v>
      </c>
      <c r="GZ55">
        <f t="shared" si="83"/>
        <v>3190.0943412940287</v>
      </c>
      <c r="HA55">
        <f t="shared" si="83"/>
        <v>3206.1770417034745</v>
      </c>
      <c r="HB55">
        <f t="shared" si="84"/>
        <v>3222.2605272593814</v>
      </c>
      <c r="HC55">
        <f t="shared" si="84"/>
        <v>3238.3448019389834</v>
      </c>
      <c r="HD55">
        <f t="shared" si="84"/>
        <v>3254.4298697202862</v>
      </c>
      <c r="HE55">
        <f t="shared" si="84"/>
        <v>3270.515734582078</v>
      </c>
      <c r="HF55">
        <f t="shared" si="84"/>
        <v>3286.6024005039271</v>
      </c>
      <c r="HG55">
        <f t="shared" si="84"/>
        <v>3302.689871466192</v>
      </c>
      <c r="HH55">
        <f t="shared" si="84"/>
        <v>3318.7781514500152</v>
      </c>
      <c r="HI55">
        <f t="shared" si="84"/>
        <v>3334.867244437341</v>
      </c>
      <c r="HJ55">
        <f t="shared" si="84"/>
        <v>3350.9571544109085</v>
      </c>
      <c r="HK55">
        <f t="shared" si="84"/>
        <v>3367.0478853542627</v>
      </c>
      <c r="HL55">
        <f t="shared" si="85"/>
        <v>3383.1394412517511</v>
      </c>
      <c r="HM55">
        <f t="shared" si="85"/>
        <v>3399.2318260885359</v>
      </c>
      <c r="HN55">
        <f t="shared" si="85"/>
        <v>3415.3250438505911</v>
      </c>
      <c r="HO55">
        <f t="shared" si="85"/>
        <v>3431.4190985247101</v>
      </c>
      <c r="HP55">
        <f t="shared" si="85"/>
        <v>3447.5139940985077</v>
      </c>
      <c r="HQ55">
        <f t="shared" si="85"/>
        <v>3463.6097345604298</v>
      </c>
      <c r="HR55">
        <f t="shared" si="85"/>
        <v>3479.706323899748</v>
      </c>
      <c r="HS55">
        <f t="shared" si="85"/>
        <v>3495.8037661065719</v>
      </c>
      <c r="HT55">
        <f t="shared" si="85"/>
        <v>3511.9020651718442</v>
      </c>
      <c r="HU55">
        <f t="shared" si="85"/>
        <v>3528.001225087356</v>
      </c>
      <c r="HV55">
        <f t="shared" si="86"/>
        <v>3544.1012498457421</v>
      </c>
      <c r="HW55">
        <f t="shared" si="86"/>
        <v>3560.2021434404915</v>
      </c>
      <c r="HX55">
        <f t="shared" si="86"/>
        <v>3576.3039098659392</v>
      </c>
      <c r="HY55">
        <f t="shared" si="86"/>
        <v>3592.4065531172882</v>
      </c>
      <c r="HZ55">
        <f t="shared" si="86"/>
        <v>3608.5100771905991</v>
      </c>
      <c r="IA55">
        <f t="shared" si="86"/>
        <v>3624.6144860827999</v>
      </c>
      <c r="IB55">
        <f t="shared" si="86"/>
        <v>3640.7197837916897</v>
      </c>
      <c r="IC55">
        <f t="shared" si="86"/>
        <v>3656.8259743159379</v>
      </c>
      <c r="ID55">
        <f t="shared" si="86"/>
        <v>3672.9330616551015</v>
      </c>
      <c r="IE55">
        <f t="shared" si="86"/>
        <v>3689.0410498096112</v>
      </c>
      <c r="IF55">
        <f t="shared" si="87"/>
        <v>3705.1499427807889</v>
      </c>
      <c r="IG55">
        <f t="shared" si="87"/>
        <v>3721.2597445708438</v>
      </c>
      <c r="IH55">
        <f t="shared" si="87"/>
        <v>3737.3704591828855</v>
      </c>
      <c r="II55">
        <f t="shared" si="87"/>
        <v>3753.4820906209134</v>
      </c>
      <c r="IJ55">
        <f t="shared" si="87"/>
        <v>3769.5946428898378</v>
      </c>
      <c r="IK55">
        <f t="shared" si="87"/>
        <v>3785.7081199954728</v>
      </c>
      <c r="IL55">
        <f t="shared" si="87"/>
        <v>3801.8225259445394</v>
      </c>
      <c r="IM55">
        <f t="shared" si="87"/>
        <v>3817.9378647446792</v>
      </c>
      <c r="IN55">
        <f t="shared" si="87"/>
        <v>3834.0541404044507</v>
      </c>
      <c r="IO55">
        <f t="shared" si="87"/>
        <v>3850.1713569333306</v>
      </c>
      <c r="IP55">
        <f t="shared" si="88"/>
        <v>3866.289518341729</v>
      </c>
      <c r="IQ55">
        <f t="shared" si="88"/>
        <v>3882.4086286409829</v>
      </c>
      <c r="IR55">
        <f t="shared" si="88"/>
        <v>3898.5286918433649</v>
      </c>
      <c r="IS55">
        <f t="shared" si="88"/>
        <v>3914.6497119620844</v>
      </c>
      <c r="IT55">
        <f t="shared" si="88"/>
        <v>3930.7716930113006</v>
      </c>
      <c r="IU55">
        <f t="shared" si="88"/>
        <v>3946.8946390061096</v>
      </c>
      <c r="IV55">
        <f t="shared" si="88"/>
        <v>3963.0185539625686</v>
      </c>
      <c r="IW55">
        <f t="shared" si="88"/>
        <v>3979.1434418976814</v>
      </c>
      <c r="IX55">
        <f t="shared" si="88"/>
        <v>3995.2693068294175</v>
      </c>
      <c r="IY55">
        <f t="shared" si="88"/>
        <v>4011.3961527767033</v>
      </c>
      <c r="IZ55">
        <f t="shared" si="89"/>
        <v>4027.5239837594363</v>
      </c>
      <c r="JA55">
        <f t="shared" si="89"/>
        <v>4043.6528037984867</v>
      </c>
      <c r="JB55">
        <f t="shared" si="89"/>
        <v>4059.7826169156956</v>
      </c>
      <c r="JC55">
        <f t="shared" si="89"/>
        <v>4075.9134271338862</v>
      </c>
      <c r="JD55">
        <f t="shared" si="89"/>
        <v>4092.0452384768637</v>
      </c>
      <c r="JE55">
        <f t="shared" si="89"/>
        <v>4108.1780549694231</v>
      </c>
      <c r="JF55">
        <f t="shared" si="89"/>
        <v>4124.3118806373459</v>
      </c>
      <c r="JG55">
        <f t="shared" si="89"/>
        <v>4140.4467195074167</v>
      </c>
      <c r="JH55">
        <f t="shared" si="89"/>
        <v>4156.5825756074128</v>
      </c>
      <c r="JI55">
        <f t="shared" si="89"/>
        <v>4172.7194529661192</v>
      </c>
      <c r="JJ55">
        <f t="shared" si="90"/>
        <v>4188.857355613326</v>
      </c>
      <c r="JK55">
        <f t="shared" si="90"/>
        <v>4204.9962875798374</v>
      </c>
      <c r="JL55">
        <f t="shared" si="90"/>
        <v>4221.1362528974732</v>
      </c>
      <c r="JM55">
        <f t="shared" si="90"/>
        <v>4237.2772555990723</v>
      </c>
      <c r="JN55">
        <f t="shared" si="90"/>
        <v>4253.4192997184973</v>
      </c>
      <c r="JO55">
        <f t="shared" si="90"/>
        <v>4269.5623892906406</v>
      </c>
      <c r="JP55">
        <f t="shared" si="90"/>
        <v>4285.7065283514257</v>
      </c>
      <c r="JQ55">
        <f t="shared" si="90"/>
        <v>4301.8517209378124</v>
      </c>
      <c r="JR55">
        <f t="shared" si="90"/>
        <v>4317.9979710878015</v>
      </c>
      <c r="JS55">
        <f t="shared" si="90"/>
        <v>4334.1452828404363</v>
      </c>
      <c r="JT55">
        <f t="shared" si="91"/>
        <v>4350.2936602358131</v>
      </c>
      <c r="JU55">
        <f t="shared" si="91"/>
        <v>4366.4431073150772</v>
      </c>
      <c r="JV55">
        <f t="shared" si="91"/>
        <v>4382.5936281204304</v>
      </c>
      <c r="JW55">
        <f t="shared" si="91"/>
        <v>4398.7452266951395</v>
      </c>
      <c r="JX55">
        <f t="shared" si="91"/>
        <v>4414.8979070835285</v>
      </c>
      <c r="JY55">
        <f t="shared" si="91"/>
        <v>4431.0516733309996</v>
      </c>
      <c r="JZ55">
        <f t="shared" si="91"/>
        <v>4447.2065294840231</v>
      </c>
      <c r="KA55">
        <f t="shared" si="91"/>
        <v>4463.362479590146</v>
      </c>
      <c r="KB55">
        <f t="shared" si="91"/>
        <v>4479.5195276979985</v>
      </c>
      <c r="KC55">
        <f t="shared" si="91"/>
        <v>4495.6776778572985</v>
      </c>
      <c r="KD55">
        <f t="shared" si="92"/>
        <v>4511.8369341188481</v>
      </c>
      <c r="KE55">
        <f t="shared" si="92"/>
        <v>4527.9973005345464</v>
      </c>
      <c r="KF55">
        <f t="shared" si="92"/>
        <v>4544.1587811573927</v>
      </c>
      <c r="KG55">
        <f t="shared" si="92"/>
        <v>4560.3213800414806</v>
      </c>
      <c r="KH55">
        <f t="shared" si="92"/>
        <v>4576.4851012420204</v>
      </c>
      <c r="KI55">
        <f t="shared" si="92"/>
        <v>4592.6499488153231</v>
      </c>
      <c r="KJ55">
        <f t="shared" si="92"/>
        <v>4608.8159268188192</v>
      </c>
      <c r="KK55">
        <f t="shared" si="92"/>
        <v>4624.9830393110578</v>
      </c>
      <c r="KL55">
        <f t="shared" si="92"/>
        <v>4641.1512903517096</v>
      </c>
      <c r="KM55">
        <f t="shared" si="92"/>
        <v>4657.3206840015682</v>
      </c>
      <c r="KN55">
        <f t="shared" si="93"/>
        <v>4673.4912243225663</v>
      </c>
      <c r="KO55">
        <f t="shared" si="93"/>
        <v>4689.6629153777631</v>
      </c>
      <c r="KP55">
        <f t="shared" si="93"/>
        <v>4705.8357612313639</v>
      </c>
      <c r="KQ55">
        <f t="shared" si="93"/>
        <v>4722.0097659487119</v>
      </c>
      <c r="KR55">
        <f t="shared" si="93"/>
        <v>4738.1849335963043</v>
      </c>
      <c r="KS55">
        <f t="shared" si="93"/>
        <v>4754.3612682417825</v>
      </c>
      <c r="KT55">
        <f t="shared" si="93"/>
        <v>4770.5387739539483</v>
      </c>
      <c r="KU55">
        <f t="shared" si="93"/>
        <v>4786.7174548027606</v>
      </c>
      <c r="KV55">
        <f t="shared" si="93"/>
        <v>4802.8973148593477</v>
      </c>
      <c r="KW55">
        <f t="shared" si="93"/>
        <v>4819.0783581959995</v>
      </c>
      <c r="KX55">
        <f t="shared" si="94"/>
        <v>4835.2605888861808</v>
      </c>
      <c r="KY55">
        <f t="shared" si="94"/>
        <v>4851.4440110045371</v>
      </c>
      <c r="KZ55">
        <f t="shared" si="94"/>
        <v>4867.6286286268878</v>
      </c>
      <c r="LA55">
        <f t="shared" si="94"/>
        <v>4883.8144458302413</v>
      </c>
      <c r="LB55">
        <f t="shared" si="94"/>
        <v>4900.0014666927946</v>
      </c>
      <c r="LC55">
        <f t="shared" si="94"/>
        <v>4916.1896952939387</v>
      </c>
      <c r="LD55">
        <f t="shared" si="94"/>
        <v>4932.3791357142582</v>
      </c>
      <c r="LE55">
        <f t="shared" si="94"/>
        <v>4948.5697920355433</v>
      </c>
      <c r="LF55">
        <f t="shared" si="94"/>
        <v>4964.7616683407914</v>
      </c>
      <c r="LG55">
        <f t="shared" si="94"/>
        <v>4980.9547687142031</v>
      </c>
      <c r="LH55">
        <f t="shared" si="95"/>
        <v>4997.1490972412021</v>
      </c>
      <c r="LI55">
        <f t="shared" si="95"/>
        <v>5013.3446580084219</v>
      </c>
      <c r="LJ55">
        <f t="shared" si="95"/>
        <v>5029.5414551037211</v>
      </c>
      <c r="LK55">
        <f t="shared" si="95"/>
        <v>5045.7394926161915</v>
      </c>
      <c r="LL55">
        <f t="shared" si="95"/>
        <v>5061.9387746361463</v>
      </c>
      <c r="LM55">
        <f t="shared" si="95"/>
        <v>5078.1393052551421</v>
      </c>
      <c r="LN55">
        <f t="shared" si="95"/>
        <v>5094.3410885659669</v>
      </c>
      <c r="LO55">
        <f t="shared" si="95"/>
        <v>5110.5441286626601</v>
      </c>
      <c r="LP55">
        <f t="shared" si="95"/>
        <v>5126.7484296405019</v>
      </c>
      <c r="LQ55">
        <f t="shared" si="95"/>
        <v>5142.9539955960299</v>
      </c>
      <c r="LR55">
        <f t="shared" si="96"/>
        <v>5159.1608306270346</v>
      </c>
      <c r="LS55">
        <f t="shared" si="96"/>
        <v>5175.3689388325702</v>
      </c>
      <c r="LT55">
        <f t="shared" si="96"/>
        <v>5191.5783243129499</v>
      </c>
      <c r="LU55">
        <f t="shared" si="96"/>
        <v>5207.7889911697639</v>
      </c>
      <c r="LV55">
        <f t="shared" si="96"/>
        <v>5224.0009435058646</v>
      </c>
      <c r="LW55">
        <f t="shared" si="96"/>
        <v>5240.2141854253932</v>
      </c>
      <c r="LX55">
        <f t="shared" si="96"/>
        <v>5256.4287210337643</v>
      </c>
      <c r="LY55">
        <f t="shared" si="96"/>
        <v>5272.644554437682</v>
      </c>
      <c r="LZ55">
        <f t="shared" si="96"/>
        <v>5288.8616897451402</v>
      </c>
      <c r="MA55">
        <f t="shared" si="96"/>
        <v>5305.0801310654242</v>
      </c>
      <c r="MB55">
        <f t="shared" si="97"/>
        <v>5321.2998825091227</v>
      </c>
      <c r="MC55">
        <f t="shared" si="97"/>
        <v>5337.5209481881229</v>
      </c>
      <c r="MD55">
        <f t="shared" si="97"/>
        <v>5353.7433322156203</v>
      </c>
      <c r="ME55">
        <f t="shared" si="97"/>
        <v>5369.9670387061215</v>
      </c>
      <c r="MF55">
        <f t="shared" si="97"/>
        <v>5386.192071775451</v>
      </c>
      <c r="MG55">
        <f t="shared" si="97"/>
        <v>5402.418435540746</v>
      </c>
      <c r="MH55">
        <f t="shared" si="97"/>
        <v>5418.6461341204767</v>
      </c>
      <c r="MI55">
        <f t="shared" si="97"/>
        <v>5434.8751716344368</v>
      </c>
      <c r="MJ55">
        <f t="shared" si="97"/>
        <v>5451.1055522037523</v>
      </c>
      <c r="MK55">
        <f t="shared" si="97"/>
        <v>5467.3372799508852</v>
      </c>
      <c r="ML55">
        <f t="shared" si="98"/>
        <v>5483.5703589996428</v>
      </c>
      <c r="MM55">
        <f t="shared" si="98"/>
        <v>5499.8047934751739</v>
      </c>
      <c r="MN55">
        <f t="shared" si="98"/>
        <v>5516.0405875039787</v>
      </c>
      <c r="MO55">
        <f t="shared" si="98"/>
        <v>5532.2777452139071</v>
      </c>
      <c r="MP55">
        <f t="shared" si="98"/>
        <v>5548.5162707341751</v>
      </c>
      <c r="MQ55">
        <f t="shared" si="98"/>
        <v>5564.756168195353</v>
      </c>
      <c r="MR55">
        <f t="shared" si="98"/>
        <v>5580.9974417293852</v>
      </c>
      <c r="MS55">
        <f t="shared" si="98"/>
        <v>5597.2400954695786</v>
      </c>
      <c r="MT55">
        <f t="shared" si="98"/>
        <v>5613.4841335506253</v>
      </c>
      <c r="MU55">
        <f t="shared" si="98"/>
        <v>5629.7295601085862</v>
      </c>
      <c r="MV55">
        <f t="shared" si="99"/>
        <v>5645.9763792809154</v>
      </c>
      <c r="MW55">
        <f t="shared" si="99"/>
        <v>5662.2245952064513</v>
      </c>
      <c r="MX55">
        <f t="shared" si="99"/>
        <v>5678.4742120254223</v>
      </c>
      <c r="MY55">
        <f t="shared" si="99"/>
        <v>5694.7252338794588</v>
      </c>
      <c r="MZ55">
        <f t="shared" si="99"/>
        <v>5710.9776649115893</v>
      </c>
      <c r="NA55">
        <f t="shared" si="99"/>
        <v>5727.2315092662475</v>
      </c>
      <c r="NB55">
        <f t="shared" si="99"/>
        <v>5743.4867710892777</v>
      </c>
      <c r="NC55">
        <f t="shared" si="99"/>
        <v>5759.7434545279384</v>
      </c>
      <c r="ND55">
        <f t="shared" si="99"/>
        <v>5776.0015637309061</v>
      </c>
      <c r="NE55">
        <f t="shared" si="99"/>
        <v>5792.261102848277</v>
      </c>
      <c r="NF55">
        <f t="shared" si="100"/>
        <v>5808.5220760315815</v>
      </c>
      <c r="NG55">
        <f t="shared" si="100"/>
        <v>5824.784487433777</v>
      </c>
      <c r="NH55">
        <f t="shared" si="100"/>
        <v>5841.0483412092535</v>
      </c>
      <c r="NI55">
        <f t="shared" si="100"/>
        <v>5857.3136415138479</v>
      </c>
      <c r="NJ55">
        <f t="shared" si="100"/>
        <v>5873.5803925048367</v>
      </c>
      <c r="NK55">
        <f t="shared" si="100"/>
        <v>5889.8485983409446</v>
      </c>
      <c r="NL55">
        <f t="shared" si="100"/>
        <v>5906.1182631823503</v>
      </c>
      <c r="NM55">
        <f t="shared" si="100"/>
        <v>5922.3893911906953</v>
      </c>
      <c r="NN55">
        <f t="shared" si="100"/>
        <v>5938.6619865290759</v>
      </c>
      <c r="NO55">
        <f t="shared" si="100"/>
        <v>5954.9360533620547</v>
      </c>
      <c r="NP55">
        <f t="shared" si="101"/>
        <v>5971.2115958556687</v>
      </c>
      <c r="NQ55">
        <f t="shared" si="101"/>
        <v>5987.4886181774273</v>
      </c>
      <c r="NR55">
        <f t="shared" si="101"/>
        <v>6003.7671244963194</v>
      </c>
      <c r="NS55">
        <f t="shared" si="101"/>
        <v>6020.0471189828222</v>
      </c>
      <c r="NT55">
        <f t="shared" si="101"/>
        <v>6036.3286058088888</v>
      </c>
      <c r="NU55">
        <f t="shared" si="101"/>
        <v>6052.6115891479803</v>
      </c>
      <c r="NV55">
        <f t="shared" si="101"/>
        <v>6068.8960731750376</v>
      </c>
      <c r="NW55">
        <f t="shared" si="101"/>
        <v>6085.1820620665194</v>
      </c>
      <c r="NX55">
        <f t="shared" si="101"/>
        <v>6101.4695600003788</v>
      </c>
      <c r="NY55">
        <f t="shared" si="101"/>
        <v>6117.7585711560796</v>
      </c>
      <c r="NZ55">
        <f t="shared" si="102"/>
        <v>6134.0490997146062</v>
      </c>
      <c r="OA55">
        <f t="shared" si="102"/>
        <v>6150.3411498584574</v>
      </c>
      <c r="OB55">
        <f t="shared" si="102"/>
        <v>6166.6347257716507</v>
      </c>
      <c r="OC55">
        <f t="shared" si="102"/>
        <v>6182.9298316397389</v>
      </c>
      <c r="OD55">
        <f t="shared" si="102"/>
        <v>6199.2264716498048</v>
      </c>
      <c r="OE55">
        <f t="shared" si="102"/>
        <v>6215.5246499904615</v>
      </c>
      <c r="OF55">
        <f t="shared" si="102"/>
        <v>6231.8243708518712</v>
      </c>
      <c r="OG55">
        <f t="shared" si="102"/>
        <v>6248.1256384257331</v>
      </c>
      <c r="OH55">
        <f t="shared" si="102"/>
        <v>6264.4284569053043</v>
      </c>
      <c r="OI55">
        <f t="shared" si="102"/>
        <v>6280.7328304853872</v>
      </c>
      <c r="OJ55">
        <f t="shared" si="103"/>
        <v>6297.0387633623504</v>
      </c>
      <c r="OK55">
        <f t="shared" si="103"/>
        <v>6313.3462597341168</v>
      </c>
      <c r="OL55">
        <f t="shared" si="103"/>
        <v>6329.6553238001889</v>
      </c>
      <c r="OM55">
        <f t="shared" si="103"/>
        <v>6345.9659597616237</v>
      </c>
      <c r="ON55">
        <f t="shared" si="103"/>
        <v>6362.278171821069</v>
      </c>
      <c r="OO55">
        <f t="shared" si="103"/>
        <v>6378.5919641827513</v>
      </c>
      <c r="OP55">
        <f t="shared" si="103"/>
        <v>6394.9073410524697</v>
      </c>
      <c r="OQ55">
        <f t="shared" si="103"/>
        <v>6411.2243066376259</v>
      </c>
      <c r="OR55">
        <f t="shared" si="103"/>
        <v>6427.5428651472148</v>
      </c>
      <c r="OS55">
        <f t="shared" si="103"/>
        <v>6443.8630207918195</v>
      </c>
      <c r="OT55">
        <f t="shared" si="104"/>
        <v>6460.1847777836347</v>
      </c>
      <c r="OU55">
        <f t="shared" si="104"/>
        <v>6476.5081403364575</v>
      </c>
      <c r="OV55">
        <f t="shared" si="104"/>
        <v>6492.833112665704</v>
      </c>
      <c r="OW55">
        <f t="shared" si="104"/>
        <v>6509.1596989883983</v>
      </c>
      <c r="OX55">
        <f t="shared" si="104"/>
        <v>6525.4879035231843</v>
      </c>
      <c r="OY55">
        <f t="shared" si="104"/>
        <v>6541.817730490342</v>
      </c>
      <c r="OZ55">
        <f t="shared" si="104"/>
        <v>6558.1491841117704</v>
      </c>
      <c r="PA55">
        <f t="shared" si="104"/>
        <v>6574.4822686110037</v>
      </c>
      <c r="PB55">
        <f t="shared" si="104"/>
        <v>6590.8169882132224</v>
      </c>
      <c r="PC55">
        <f t="shared" si="104"/>
        <v>6607.1533471452376</v>
      </c>
      <c r="PD55">
        <f t="shared" si="105"/>
        <v>6623.4913496355211</v>
      </c>
      <c r="PE55">
        <f t="shared" si="105"/>
        <v>6639.8309999141857</v>
      </c>
      <c r="PF55">
        <f t="shared" si="105"/>
        <v>6656.1723022130063</v>
      </c>
      <c r="PG55">
        <f t="shared" si="105"/>
        <v>6672.51526076542</v>
      </c>
      <c r="PH55">
        <f t="shared" si="105"/>
        <v>6688.8598798065268</v>
      </c>
      <c r="PI55">
        <f t="shared" si="105"/>
        <v>6705.2061635730961</v>
      </c>
      <c r="PJ55">
        <f t="shared" si="105"/>
        <v>6721.5541163035696</v>
      </c>
      <c r="PK55">
        <f t="shared" si="105"/>
        <v>6737.9037422380807</v>
      </c>
      <c r="PL55">
        <f t="shared" si="105"/>
        <v>6754.2550456184263</v>
      </c>
      <c r="PM55">
        <f t="shared" si="105"/>
        <v>6770.6080306881095</v>
      </c>
      <c r="PN55">
        <f t="shared" si="106"/>
        <v>6786.962701692315</v>
      </c>
      <c r="PO55">
        <f t="shared" si="106"/>
        <v>6803.3190628779303</v>
      </c>
      <c r="PP55">
        <f t="shared" si="106"/>
        <v>6819.6771184935451</v>
      </c>
      <c r="PQ55">
        <f t="shared" si="106"/>
        <v>6836.0368727894465</v>
      </c>
      <c r="PR55">
        <f t="shared" si="106"/>
        <v>6852.3983300176424</v>
      </c>
      <c r="PS55">
        <f t="shared" si="106"/>
        <v>6868.7614944318511</v>
      </c>
      <c r="PT55">
        <f t="shared" si="106"/>
        <v>6885.1263702875149</v>
      </c>
      <c r="PU55">
        <f t="shared" si="106"/>
        <v>6901.4929618417973</v>
      </c>
      <c r="PV55">
        <f t="shared" si="106"/>
        <v>6917.8612733535874</v>
      </c>
      <c r="PW55">
        <f t="shared" si="106"/>
        <v>6934.231309083515</v>
      </c>
      <c r="PX55">
        <f t="shared" si="107"/>
        <v>6950.6030732939444</v>
      </c>
      <c r="PY55">
        <f t="shared" si="107"/>
        <v>6966.9765702489804</v>
      </c>
      <c r="PZ55">
        <f t="shared" si="107"/>
        <v>6983.3518042144806</v>
      </c>
      <c r="QA55">
        <f t="shared" si="107"/>
        <v>6999.7287794580498</v>
      </c>
      <c r="QB55">
        <f t="shared" si="107"/>
        <v>7016.1075002490497</v>
      </c>
      <c r="QC55">
        <f t="shared" si="107"/>
        <v>7032.4879708586104</v>
      </c>
      <c r="QD55">
        <f t="shared" si="107"/>
        <v>7048.8701955596107</v>
      </c>
      <c r="QE55">
        <f t="shared" si="107"/>
        <v>7065.2541786267184</v>
      </c>
      <c r="QF55">
        <f t="shared" si="107"/>
        <v>7081.6399243363621</v>
      </c>
      <c r="QG55">
        <f t="shared" si="107"/>
        <v>7098.0274369667659</v>
      </c>
      <c r="QH55">
        <f t="shared" si="108"/>
        <v>7114.4167207979117</v>
      </c>
      <c r="QI55">
        <f t="shared" si="108"/>
        <v>7130.8077801116006</v>
      </c>
      <c r="QJ55">
        <f t="shared" si="108"/>
        <v>7147.2006191913997</v>
      </c>
      <c r="QK55">
        <f t="shared" si="108"/>
        <v>7163.5952423226981</v>
      </c>
      <c r="QL55">
        <f t="shared" si="108"/>
        <v>7179.9916537926683</v>
      </c>
      <c r="QM55">
        <f t="shared" si="108"/>
        <v>7196.3898578902972</v>
      </c>
      <c r="QN55">
        <f t="shared" si="108"/>
        <v>7212.7898589063834</v>
      </c>
      <c r="QO55">
        <f t="shared" si="108"/>
        <v>7229.1916611335473</v>
      </c>
      <c r="QP55">
        <f t="shared" si="108"/>
        <v>7245.5952688662182</v>
      </c>
      <c r="QQ55">
        <f t="shared" si="108"/>
        <v>7262.0006864006546</v>
      </c>
      <c r="QR55">
        <f t="shared" si="109"/>
        <v>7278.4079180349581</v>
      </c>
      <c r="QS55">
        <f t="shared" si="109"/>
        <v>7294.816968069048</v>
      </c>
      <c r="QT55">
        <f t="shared" si="109"/>
        <v>7311.2278408046968</v>
      </c>
      <c r="QU55">
        <f t="shared" si="109"/>
        <v>7327.6405405455043</v>
      </c>
      <c r="QV55">
        <f t="shared" si="109"/>
        <v>7344.0550715969384</v>
      </c>
      <c r="QW55">
        <f t="shared" si="109"/>
        <v>7360.4714382663051</v>
      </c>
      <c r="QX55">
        <f t="shared" si="109"/>
        <v>7376.8896448627911</v>
      </c>
      <c r="QY55">
        <f t="shared" si="109"/>
        <v>7393.3096956974005</v>
      </c>
      <c r="QZ55">
        <f t="shared" si="109"/>
        <v>7409.7315950830589</v>
      </c>
      <c r="RA55">
        <f t="shared" si="109"/>
        <v>7426.1553473345302</v>
      </c>
      <c r="RB55">
        <f t="shared" si="110"/>
        <v>7442.5809567684764</v>
      </c>
      <c r="RC55">
        <f t="shared" si="110"/>
        <v>7459.0084277034011</v>
      </c>
      <c r="RD55">
        <f t="shared" si="110"/>
        <v>7475.4377644597498</v>
      </c>
      <c r="RE55">
        <f t="shared" si="110"/>
        <v>7491.8689713598233</v>
      </c>
      <c r="RF55">
        <f t="shared" si="110"/>
        <v>7508.3020527278295</v>
      </c>
      <c r="RG55">
        <f t="shared" si="110"/>
        <v>7524.7370128898547</v>
      </c>
      <c r="RH55">
        <f t="shared" si="110"/>
        <v>7541.1738561739321</v>
      </c>
      <c r="RI55">
        <f t="shared" si="110"/>
        <v>7557.6125869099715</v>
      </c>
      <c r="RJ55">
        <f t="shared" si="110"/>
        <v>7574.053209429816</v>
      </c>
      <c r="RK55">
        <f t="shared" si="110"/>
        <v>7590.4957280671933</v>
      </c>
      <c r="RL55">
        <f t="shared" si="111"/>
        <v>7606.9401471578085</v>
      </c>
      <c r="RM55">
        <f t="shared" si="111"/>
        <v>7623.3864710392572</v>
      </c>
      <c r="RN55">
        <f t="shared" si="111"/>
        <v>7639.8347040510889</v>
      </c>
      <c r="RO55">
        <f t="shared" si="111"/>
        <v>7656.2848505347583</v>
      </c>
      <c r="RP55">
        <f t="shared" si="111"/>
        <v>7672.7369148337048</v>
      </c>
      <c r="RQ55">
        <f t="shared" si="111"/>
        <v>7689.190901293292</v>
      </c>
      <c r="RR55">
        <f t="shared" si="111"/>
        <v>7705.6468142608483</v>
      </c>
      <c r="RS55">
        <f t="shared" si="111"/>
        <v>7722.1046580856282</v>
      </c>
      <c r="RT55">
        <f t="shared" si="111"/>
        <v>7738.5644371188937</v>
      </c>
      <c r="RU55">
        <f t="shared" si="111"/>
        <v>7755.0261557138538</v>
      </c>
      <c r="RV55">
        <f t="shared" si="112"/>
        <v>7771.4898182256657</v>
      </c>
      <c r="RW55">
        <f t="shared" si="112"/>
        <v>7787.9554290114938</v>
      </c>
      <c r="RX55">
        <f t="shared" si="112"/>
        <v>7804.4229924304664</v>
      </c>
      <c r="RY55">
        <f t="shared" si="112"/>
        <v>7820.8925128437277</v>
      </c>
      <c r="RZ55">
        <f t="shared" si="112"/>
        <v>7837.3639946143621</v>
      </c>
      <c r="SA55">
        <f t="shared" si="112"/>
        <v>7853.8374421074859</v>
      </c>
      <c r="SB55">
        <f t="shared" si="112"/>
        <v>7870.3128596902006</v>
      </c>
      <c r="SC55">
        <f t="shared" si="112"/>
        <v>7886.7902517316343</v>
      </c>
      <c r="SD55">
        <f t="shared" si="112"/>
        <v>7903.2696226028929</v>
      </c>
      <c r="SE55">
        <f t="shared" si="112"/>
        <v>7919.7509766771136</v>
      </c>
      <c r="SF55">
        <f t="shared" si="113"/>
        <v>7936.2343183294461</v>
      </c>
      <c r="SG55">
        <f t="shared" si="113"/>
        <v>7952.7196519370955</v>
      </c>
      <c r="SH55">
        <f t="shared" si="113"/>
        <v>7969.2069818792434</v>
      </c>
      <c r="SI55">
        <f t="shared" si="113"/>
        <v>7985.6963125371376</v>
      </c>
      <c r="SJ55">
        <f t="shared" si="113"/>
        <v>8002.1876482940552</v>
      </c>
      <c r="SK55">
        <f t="shared" si="113"/>
        <v>8018.6809935353449</v>
      </c>
      <c r="SL55">
        <f t="shared" si="113"/>
        <v>8035.1763526483464</v>
      </c>
      <c r="SM55">
        <f t="shared" si="113"/>
        <v>8051.6737300225041</v>
      </c>
      <c r="SN55">
        <f t="shared" si="113"/>
        <v>8068.1731300492884</v>
      </c>
      <c r="SO55">
        <f t="shared" si="113"/>
        <v>8084.6745571222636</v>
      </c>
      <c r="SP55">
        <f t="shared" si="114"/>
        <v>8101.1780156370305</v>
      </c>
      <c r="SQ55">
        <f t="shared" si="114"/>
        <v>8117.6835099912842</v>
      </c>
      <c r="SR55">
        <f t="shared" si="114"/>
        <v>8134.1910445847852</v>
      </c>
      <c r="SS55">
        <f t="shared" si="114"/>
        <v>8150.7006238193726</v>
      </c>
      <c r="ST55">
        <f t="shared" si="114"/>
        <v>8167.2122520989878</v>
      </c>
      <c r="SU55">
        <f t="shared" si="114"/>
        <v>8183.7259338296553</v>
      </c>
      <c r="SV55">
        <f t="shared" si="114"/>
        <v>8200.2416734194994</v>
      </c>
      <c r="SW55">
        <f t="shared" si="114"/>
        <v>8216.7594752787372</v>
      </c>
      <c r="SX55">
        <f t="shared" si="114"/>
        <v>8233.2793438197041</v>
      </c>
      <c r="SY55">
        <f t="shared" si="114"/>
        <v>8249.8012834568435</v>
      </c>
      <c r="SZ55">
        <f t="shared" si="115"/>
        <v>8266.3252986067146</v>
      </c>
      <c r="TA55">
        <f t="shared" si="115"/>
        <v>8282.8513936879972</v>
      </c>
      <c r="TB55">
        <f t="shared" si="115"/>
        <v>8299.3795731214959</v>
      </c>
      <c r="TC55">
        <f t="shared" si="115"/>
        <v>8315.909841330149</v>
      </c>
      <c r="TD55">
        <f t="shared" si="115"/>
        <v>8332.4422027390337</v>
      </c>
      <c r="TE55">
        <f t="shared" si="115"/>
        <v>8348.976661775363</v>
      </c>
      <c r="TF55">
        <f t="shared" si="115"/>
        <v>8365.5132228684979</v>
      </c>
      <c r="TG55">
        <f t="shared" si="115"/>
        <v>8382.0518904499513</v>
      </c>
      <c r="TH55">
        <f t="shared" si="115"/>
        <v>8398.5926689533917</v>
      </c>
      <c r="TI55">
        <f t="shared" si="115"/>
        <v>8415.1355628146448</v>
      </c>
      <c r="TJ55">
        <f t="shared" si="116"/>
        <v>8431.6805764717101</v>
      </c>
      <c r="TK55">
        <f t="shared" si="116"/>
        <v>8448.2277143647498</v>
      </c>
      <c r="TL55">
        <f t="shared" si="116"/>
        <v>8464.7769809361089</v>
      </c>
      <c r="TM55">
        <f t="shared" si="116"/>
        <v>8481.3283806302989</v>
      </c>
      <c r="TN55">
        <f t="shared" si="116"/>
        <v>8497.8819178940412</v>
      </c>
      <c r="TO55">
        <f t="shared" si="116"/>
        <v>8514.4375971762238</v>
      </c>
      <c r="TP55">
        <f t="shared" si="116"/>
        <v>8530.9954229279429</v>
      </c>
      <c r="TQ55">
        <f t="shared" si="116"/>
        <v>8547.5553996024973</v>
      </c>
      <c r="TR55">
        <f t="shared" si="116"/>
        <v>8564.1175316553763</v>
      </c>
      <c r="TS55">
        <f t="shared" si="116"/>
        <v>8580.6818235442988</v>
      </c>
      <c r="TT55">
        <f t="shared" si="117"/>
        <v>8597.2482797291887</v>
      </c>
      <c r="TU55">
        <f t="shared" si="117"/>
        <v>8613.8169046721905</v>
      </c>
      <c r="TV55">
        <f t="shared" si="117"/>
        <v>8630.3877028376774</v>
      </c>
      <c r="TW55">
        <f t="shared" si="117"/>
        <v>8646.9606786922504</v>
      </c>
      <c r="TX55">
        <f t="shared" si="117"/>
        <v>8663.5358367047484</v>
      </c>
      <c r="TY55">
        <f t="shared" si="117"/>
        <v>8680.1131813462489</v>
      </c>
      <c r="TZ55">
        <f t="shared" si="117"/>
        <v>8696.6927170900781</v>
      </c>
      <c r="UA55">
        <f t="shared" si="117"/>
        <v>8713.2744484118102</v>
      </c>
      <c r="UB55">
        <f t="shared" si="117"/>
        <v>8729.8583797892716</v>
      </c>
      <c r="UC55">
        <f t="shared" si="117"/>
        <v>8746.4445157025621</v>
      </c>
      <c r="UD55">
        <f t="shared" si="118"/>
        <v>8763.0328606340281</v>
      </c>
      <c r="UE55">
        <f t="shared" si="118"/>
        <v>8779.6234190683026</v>
      </c>
      <c r="UF55">
        <f t="shared" si="118"/>
        <v>8796.216195492294</v>
      </c>
      <c r="UG55">
        <f t="shared" si="118"/>
        <v>8812.8111943951808</v>
      </c>
      <c r="UH55">
        <f t="shared" si="118"/>
        <v>8829.4084202684335</v>
      </c>
      <c r="UI55">
        <f t="shared" si="118"/>
        <v>8846.0078776058144</v>
      </c>
      <c r="UJ55">
        <f t="shared" si="118"/>
        <v>8862.6095709033871</v>
      </c>
      <c r="UK55">
        <f t="shared" si="118"/>
        <v>8879.2135046595049</v>
      </c>
      <c r="UL55">
        <f t="shared" si="118"/>
        <v>8895.8196833748352</v>
      </c>
      <c r="UM55">
        <f t="shared" si="118"/>
        <v>8912.4281115523518</v>
      </c>
      <c r="UN55">
        <f t="shared" si="119"/>
        <v>8929.0387936973548</v>
      </c>
      <c r="UO55">
        <f t="shared" si="119"/>
        <v>8945.6517343174528</v>
      </c>
      <c r="UP55">
        <f t="shared" si="119"/>
        <v>8962.2669379225936</v>
      </c>
      <c r="UQ55">
        <f t="shared" si="119"/>
        <v>8978.8844090250495</v>
      </c>
      <c r="UR55">
        <f t="shared" si="119"/>
        <v>8995.5041521394251</v>
      </c>
      <c r="US55">
        <f t="shared" si="119"/>
        <v>9012.1261717826783</v>
      </c>
      <c r="UT55">
        <f t="shared" si="119"/>
        <v>9028.7504724741102</v>
      </c>
      <c r="UU55">
        <f t="shared" si="119"/>
        <v>9045.377058735372</v>
      </c>
      <c r="UV55">
        <f t="shared" si="119"/>
        <v>9062.0059350904703</v>
      </c>
      <c r="UW55">
        <f t="shared" si="119"/>
        <v>9078.6371060657857</v>
      </c>
      <c r="UX55">
        <f t="shared" si="120"/>
        <v>9095.2705761900506</v>
      </c>
      <c r="UY55">
        <f t="shared" si="120"/>
        <v>9111.9063499943823</v>
      </c>
      <c r="UZ55">
        <f t="shared" si="120"/>
        <v>9128.5444320122697</v>
      </c>
      <c r="VA55">
        <f t="shared" si="120"/>
        <v>9145.1848267795904</v>
      </c>
      <c r="VB55">
        <f t="shared" si="120"/>
        <v>9161.8275388346083</v>
      </c>
      <c r="VC55">
        <f t="shared" si="120"/>
        <v>9178.4725727179757</v>
      </c>
      <c r="VD55">
        <f t="shared" si="120"/>
        <v>9195.1199329727515</v>
      </c>
      <c r="VE55">
        <f t="shared" si="120"/>
        <v>9211.7696241443919</v>
      </c>
      <c r="VF55">
        <f t="shared" si="120"/>
        <v>9228.4216507807741</v>
      </c>
      <c r="VG55">
        <f t="shared" si="120"/>
        <v>9245.0760174321713</v>
      </c>
      <c r="VH55">
        <f t="shared" si="121"/>
        <v>9261.7327286512937</v>
      </c>
      <c r="VI55">
        <f t="shared" si="121"/>
        <v>9278.3917889932618</v>
      </c>
      <c r="VJ55">
        <f t="shared" si="121"/>
        <v>9295.0532030156428</v>
      </c>
      <c r="VK55">
        <f t="shared" si="121"/>
        <v>9311.7169752784175</v>
      </c>
      <c r="VL55">
        <f t="shared" si="121"/>
        <v>9328.3831103440316</v>
      </c>
      <c r="VM55">
        <f t="shared" si="121"/>
        <v>9345.051612777359</v>
      </c>
      <c r="VN55">
        <f t="shared" si="121"/>
        <v>9361.7224871457256</v>
      </c>
      <c r="VO55">
        <f t="shared" si="121"/>
        <v>9378.3957380189258</v>
      </c>
      <c r="VP55">
        <f t="shared" si="121"/>
        <v>9395.0713699691969</v>
      </c>
      <c r="VQ55">
        <f t="shared" si="121"/>
        <v>9411.7493875712607</v>
      </c>
      <c r="VR55">
        <f t="shared" si="122"/>
        <v>9428.4297954023023</v>
      </c>
      <c r="VS55">
        <f t="shared" si="122"/>
        <v>9445.1125980419856</v>
      </c>
      <c r="VT55">
        <f t="shared" si="122"/>
        <v>9461.7978000724524</v>
      </c>
      <c r="VU55">
        <f t="shared" si="122"/>
        <v>9478.4854060783437</v>
      </c>
      <c r="VV55">
        <f t="shared" si="122"/>
        <v>9495.1754206467776</v>
      </c>
      <c r="VW55">
        <f t="shared" si="122"/>
        <v>9511.8678483673848</v>
      </c>
      <c r="VX55">
        <f t="shared" si="122"/>
        <v>9528.5626938322894</v>
      </c>
      <c r="VY55">
        <f t="shared" si="122"/>
        <v>9545.2599616361349</v>
      </c>
      <c r="VZ55">
        <f t="shared" si="122"/>
        <v>9561.9596563760661</v>
      </c>
      <c r="WA55">
        <f t="shared" si="122"/>
        <v>9578.6617826517613</v>
      </c>
      <c r="WB55">
        <f t="shared" si="123"/>
        <v>9595.366345065413</v>
      </c>
      <c r="WC55">
        <f t="shared" si="123"/>
        <v>9612.0733482217438</v>
      </c>
      <c r="WD55">
        <f t="shared" si="123"/>
        <v>9628.7827967280209</v>
      </c>
      <c r="WE55">
        <f t="shared" si="123"/>
        <v>9645.4946951940456</v>
      </c>
      <c r="WF55">
        <f t="shared" si="123"/>
        <v>9662.2090482321637</v>
      </c>
      <c r="WG55">
        <f t="shared" si="123"/>
        <v>9678.9258604572751</v>
      </c>
      <c r="WH55">
        <f t="shared" si="123"/>
        <v>9695.6451364868408</v>
      </c>
      <c r="WI55">
        <f t="shared" si="123"/>
        <v>9712.3668809408791</v>
      </c>
      <c r="WJ55">
        <f t="shared" si="123"/>
        <v>9729.0910984419734</v>
      </c>
      <c r="WK55">
        <f t="shared" si="123"/>
        <v>9745.8177936152861</v>
      </c>
      <c r="WL55">
        <f t="shared" si="124"/>
        <v>9762.5469710885518</v>
      </c>
      <c r="WM55">
        <f t="shared" si="124"/>
        <v>9779.2786354920972</v>
      </c>
      <c r="WN55">
        <f t="shared" si="124"/>
        <v>9796.0127914588284</v>
      </c>
    </row>
    <row r="56" spans="2:612" x14ac:dyDescent="0.25">
      <c r="B56">
        <v>9</v>
      </c>
      <c r="C56">
        <f>C55+0.8</f>
        <v>3.1375000000000002</v>
      </c>
      <c r="D56">
        <v>0.97</v>
      </c>
      <c r="J56">
        <f>(($C55+0.4)*TAN(RADIANS(J$47))*$D56*0.8*1000*9.8*$C56)+((0.8*TAN(RADIANS(J$47)))*0.8/2*$D56*1000*9.8)*($C56+0.8/6)</f>
        <v>26.272975524540101</v>
      </c>
      <c r="K56">
        <f t="shared" si="80"/>
        <v>52.545957451646316</v>
      </c>
      <c r="L56">
        <f t="shared" si="80"/>
        <v>78.818952183890957</v>
      </c>
      <c r="M56">
        <f t="shared" si="80"/>
        <v>105.09196612385895</v>
      </c>
      <c r="N56">
        <f t="shared" si="80"/>
        <v>131.36500567415382</v>
      </c>
      <c r="O56">
        <f t="shared" si="80"/>
        <v>157.63807723740393</v>
      </c>
      <c r="P56">
        <f t="shared" si="80"/>
        <v>183.9111872162693</v>
      </c>
      <c r="Q56">
        <f t="shared" si="80"/>
        <v>210.18434201344695</v>
      </c>
      <c r="R56">
        <f t="shared" si="80"/>
        <v>236.45754803167762</v>
      </c>
      <c r="S56">
        <f t="shared" si="80"/>
        <v>262.73081167375233</v>
      </c>
      <c r="T56">
        <f t="shared" si="80"/>
        <v>289.00413934251799</v>
      </c>
      <c r="U56">
        <f t="shared" si="80"/>
        <v>315.2775374408838</v>
      </c>
      <c r="V56">
        <f t="shared" si="80"/>
        <v>341.55101237182805</v>
      </c>
      <c r="W56">
        <f t="shared" si="80"/>
        <v>367.82457053840346</v>
      </c>
      <c r="X56">
        <f t="shared" si="80"/>
        <v>394.09821834374418</v>
      </c>
      <c r="Y56">
        <f t="shared" si="80"/>
        <v>420.3719621910717</v>
      </c>
      <c r="Z56">
        <f t="shared" si="80"/>
        <v>446.64580848370099</v>
      </c>
      <c r="AA56">
        <f t="shared" si="80"/>
        <v>472.91976362504704</v>
      </c>
      <c r="AB56">
        <f t="shared" si="80"/>
        <v>499.19383401863104</v>
      </c>
      <c r="AC56">
        <f t="shared" si="80"/>
        <v>525.46802606808603</v>
      </c>
      <c r="AD56">
        <f t="shared" si="80"/>
        <v>551.74234617716434</v>
      </c>
      <c r="AE56">
        <f t="shared" si="80"/>
        <v>578.01680074974263</v>
      </c>
      <c r="AF56">
        <f t="shared" si="80"/>
        <v>604.29139618982902</v>
      </c>
      <c r="AG56">
        <f t="shared" si="80"/>
        <v>630.56613890156825</v>
      </c>
      <c r="AH56">
        <f t="shared" si="80"/>
        <v>656.84103528924982</v>
      </c>
      <c r="AI56">
        <f t="shared" si="80"/>
        <v>683.11609175731201</v>
      </c>
      <c r="AJ56">
        <f t="shared" si="80"/>
        <v>709.39131471034921</v>
      </c>
      <c r="AK56">
        <f t="shared" si="80"/>
        <v>735.66671055311895</v>
      </c>
      <c r="AL56">
        <f t="shared" si="80"/>
        <v>761.94228569054621</v>
      </c>
      <c r="AM56">
        <f t="shared" si="80"/>
        <v>788.21804652773187</v>
      </c>
      <c r="AN56">
        <f t="shared" si="80"/>
        <v>814.4939994699572</v>
      </c>
      <c r="AO56">
        <f t="shared" si="80"/>
        <v>840.77015092269062</v>
      </c>
      <c r="AP56">
        <f t="shared" si="80"/>
        <v>867.04650729159459</v>
      </c>
      <c r="AQ56">
        <f t="shared" si="80"/>
        <v>893.3230749825309</v>
      </c>
      <c r="AR56">
        <f t="shared" si="80"/>
        <v>919.59986040156764</v>
      </c>
      <c r="AS56">
        <f t="shared" si="80"/>
        <v>945.87686995498518</v>
      </c>
      <c r="AT56">
        <f t="shared" si="80"/>
        <v>972.15411004928251</v>
      </c>
      <c r="AU56">
        <f t="shared" si="80"/>
        <v>998.43158709118291</v>
      </c>
      <c r="AV56">
        <f t="shared" si="80"/>
        <v>1024.7093074876411</v>
      </c>
      <c r="AW56">
        <f t="shared" si="80"/>
        <v>1050.9872776458492</v>
      </c>
      <c r="AX56">
        <f t="shared" si="80"/>
        <v>1077.2655039732426</v>
      </c>
      <c r="AY56">
        <f t="shared" si="80"/>
        <v>1103.5439928775068</v>
      </c>
      <c r="AZ56">
        <f t="shared" si="80"/>
        <v>1129.8227507665822</v>
      </c>
      <c r="BA56">
        <f t="shared" si="80"/>
        <v>1156.1017840486734</v>
      </c>
      <c r="BB56">
        <f t="shared" si="80"/>
        <v>1182.3810991322518</v>
      </c>
      <c r="BC56">
        <f t="shared" si="80"/>
        <v>1208.6607024260643</v>
      </c>
      <c r="BD56">
        <f t="shared" si="80"/>
        <v>1234.9406003391391</v>
      </c>
      <c r="BE56">
        <f t="shared" si="80"/>
        <v>1261.2207992807914</v>
      </c>
      <c r="BF56">
        <f t="shared" si="80"/>
        <v>1287.5013056606304</v>
      </c>
      <c r="BG56">
        <f t="shared" si="80"/>
        <v>1313.7821258885635</v>
      </c>
      <c r="BH56">
        <f t="shared" si="80"/>
        <v>1340.0632663748063</v>
      </c>
      <c r="BI56">
        <f t="shared" si="80"/>
        <v>1366.3447335298854</v>
      </c>
      <c r="BJ56">
        <f t="shared" si="80"/>
        <v>1392.6265337646466</v>
      </c>
      <c r="BK56">
        <f t="shared" si="80"/>
        <v>1418.9086734902601</v>
      </c>
      <c r="BL56">
        <f t="shared" si="80"/>
        <v>1445.1911591182279</v>
      </c>
      <c r="BM56">
        <f t="shared" si="80"/>
        <v>1471.4739970603882</v>
      </c>
      <c r="BN56">
        <f t="shared" si="80"/>
        <v>1497.7571937289229</v>
      </c>
      <c r="BO56">
        <f t="shared" si="80"/>
        <v>1524.0407555363661</v>
      </c>
      <c r="BP56">
        <f t="shared" si="80"/>
        <v>1550.3246888956048</v>
      </c>
      <c r="BQ56">
        <f t="shared" si="80"/>
        <v>1576.609000219891</v>
      </c>
      <c r="BR56">
        <f t="shared" si="80"/>
        <v>1602.8936959228433</v>
      </c>
      <c r="BS56">
        <f t="shared" si="80"/>
        <v>1629.1787824184562</v>
      </c>
      <c r="BT56">
        <f t="shared" si="80"/>
        <v>1655.464266121106</v>
      </c>
      <c r="BU56">
        <f t="shared" si="80"/>
        <v>1681.750153445556</v>
      </c>
      <c r="BV56">
        <f>(($C55+0.4)*TAN(RADIANS(BV$47))*$D56*0.8*1000*9.8*$C56)+((0.8*TAN(RADIANS(BV$47)))*0.8/2*$D56*1000*9.8)*($C56+0.8/6)</f>
        <v>1708.036450806962</v>
      </c>
      <c r="BW56">
        <f t="shared" si="81"/>
        <v>1734.3231646208817</v>
      </c>
      <c r="BX56">
        <f t="shared" si="81"/>
        <v>1760.6103013032782</v>
      </c>
      <c r="BY56">
        <f t="shared" si="81"/>
        <v>1786.8978672705268</v>
      </c>
      <c r="BZ56">
        <f t="shared" si="81"/>
        <v>1813.1858689394217</v>
      </c>
      <c r="CA56">
        <f t="shared" si="81"/>
        <v>1839.4743127271831</v>
      </c>
      <c r="CB56">
        <f t="shared" si="81"/>
        <v>1865.7632050514617</v>
      </c>
      <c r="CC56">
        <f t="shared" si="81"/>
        <v>1892.0525523303454</v>
      </c>
      <c r="CD56">
        <f t="shared" si="81"/>
        <v>1918.3423609823678</v>
      </c>
      <c r="CE56">
        <f t="shared" si="81"/>
        <v>1944.6326374265093</v>
      </c>
      <c r="CF56">
        <f t="shared" si="81"/>
        <v>1970.9233880822121</v>
      </c>
      <c r="CG56">
        <f t="shared" si="81"/>
        <v>1997.2146193693743</v>
      </c>
      <c r="CH56">
        <f t="shared" si="81"/>
        <v>2023.5063377083691</v>
      </c>
      <c r="CI56">
        <f t="shared" si="81"/>
        <v>2049.7985495200414</v>
      </c>
      <c r="CJ56">
        <f t="shared" si="81"/>
        <v>2076.0912612257189</v>
      </c>
      <c r="CK56">
        <f t="shared" si="81"/>
        <v>2102.3844792472169</v>
      </c>
      <c r="CL56">
        <f t="shared" si="81"/>
        <v>2128.6782100068449</v>
      </c>
      <c r="CM56">
        <f t="shared" si="81"/>
        <v>2154.9724599274114</v>
      </c>
      <c r="CN56">
        <f t="shared" si="81"/>
        <v>2181.2672354322353</v>
      </c>
      <c r="CO56">
        <f t="shared" si="81"/>
        <v>2207.5625429451447</v>
      </c>
      <c r="CP56">
        <f t="shared" si="81"/>
        <v>2233.8583888904877</v>
      </c>
      <c r="CQ56">
        <f t="shared" si="81"/>
        <v>2260.1547796931395</v>
      </c>
      <c r="CR56">
        <f t="shared" si="81"/>
        <v>2286.451721778506</v>
      </c>
      <c r="CS56">
        <f t="shared" si="81"/>
        <v>2312.7492215725315</v>
      </c>
      <c r="CT56">
        <f t="shared" si="81"/>
        <v>2339.0472855017033</v>
      </c>
      <c r="CU56">
        <f t="shared" si="81"/>
        <v>2365.3459199930617</v>
      </c>
      <c r="CV56">
        <f t="shared" si="81"/>
        <v>2391.6451314742021</v>
      </c>
      <c r="CW56">
        <f t="shared" si="81"/>
        <v>2417.9449263732854</v>
      </c>
      <c r="CX56">
        <f t="shared" si="81"/>
        <v>2444.2453111190389</v>
      </c>
      <c r="CY56">
        <f t="shared" si="81"/>
        <v>2470.5462921407679</v>
      </c>
      <c r="CZ56">
        <f t="shared" si="81"/>
        <v>2496.8478758683609</v>
      </c>
      <c r="DA56">
        <f t="shared" si="81"/>
        <v>2523.1500687322909</v>
      </c>
      <c r="DB56">
        <f t="shared" si="81"/>
        <v>2549.4528771636305</v>
      </c>
      <c r="DC56">
        <f t="shared" si="81"/>
        <v>2575.7563075940502</v>
      </c>
      <c r="DD56">
        <f t="shared" si="81"/>
        <v>2602.060366455828</v>
      </c>
      <c r="DE56">
        <f t="shared" si="81"/>
        <v>2628.3650601818558</v>
      </c>
      <c r="DF56">
        <f t="shared" si="81"/>
        <v>2654.6703952056482</v>
      </c>
      <c r="DG56">
        <f t="shared" si="81"/>
        <v>2680.9763779613404</v>
      </c>
      <c r="DH56">
        <f t="shared" si="81"/>
        <v>2707.2830148837056</v>
      </c>
      <c r="DI56">
        <f t="shared" si="81"/>
        <v>2733.5903124081547</v>
      </c>
      <c r="DJ56">
        <f t="shared" si="81"/>
        <v>2759.89827697074</v>
      </c>
      <c r="DK56">
        <f t="shared" si="81"/>
        <v>2786.2069150081702</v>
      </c>
      <c r="DL56">
        <f t="shared" si="81"/>
        <v>2812.5162329578093</v>
      </c>
      <c r="DM56">
        <f t="shared" si="81"/>
        <v>2838.8262372576855</v>
      </c>
      <c r="DN56">
        <f t="shared" si="81"/>
        <v>2865.1369343464985</v>
      </c>
      <c r="DO56">
        <f t="shared" si="81"/>
        <v>2891.4483306636239</v>
      </c>
      <c r="DP56">
        <f t="shared" si="81"/>
        <v>2917.76043264912</v>
      </c>
      <c r="DQ56">
        <f t="shared" si="81"/>
        <v>2944.0732467437356</v>
      </c>
      <c r="DR56">
        <f t="shared" si="81"/>
        <v>2970.3867793889121</v>
      </c>
      <c r="DS56">
        <f t="shared" si="81"/>
        <v>2996.7010370268008</v>
      </c>
      <c r="DT56">
        <f t="shared" si="81"/>
        <v>3023.0160261002529</v>
      </c>
      <c r="DU56">
        <f t="shared" si="81"/>
        <v>3049.331753052837</v>
      </c>
      <c r="DV56">
        <f t="shared" si="81"/>
        <v>3075.6482243288442</v>
      </c>
      <c r="DW56">
        <f t="shared" si="81"/>
        <v>3101.96544637329</v>
      </c>
      <c r="DX56">
        <f t="shared" si="81"/>
        <v>3128.2834256319284</v>
      </c>
      <c r="DY56">
        <f t="shared" si="81"/>
        <v>3154.6021685512492</v>
      </c>
      <c r="DZ56">
        <f t="shared" si="81"/>
        <v>3180.9216815784894</v>
      </c>
      <c r="EA56">
        <f t="shared" si="81"/>
        <v>3207.2419711616376</v>
      </c>
      <c r="EB56">
        <f t="shared" si="81"/>
        <v>3233.563043749446</v>
      </c>
      <c r="EC56">
        <f t="shared" si="81"/>
        <v>3259.8849057914267</v>
      </c>
      <c r="ED56">
        <f t="shared" si="81"/>
        <v>3286.2075637378657</v>
      </c>
      <c r="EE56">
        <f t="shared" si="81"/>
        <v>3312.5310240398276</v>
      </c>
      <c r="EF56">
        <f t="shared" si="81"/>
        <v>3338.8552931491613</v>
      </c>
      <c r="EG56">
        <f t="shared" si="81"/>
        <v>3365.1803775185058</v>
      </c>
      <c r="EH56">
        <f>(($C55+0.4)*TAN(RADIANS(EH$47))*$D56*0.8*1000*9.8*$C56)+((0.8*TAN(RADIANS(EH$47)))*0.8/2*$D56*1000*9.8)*($C56+0.8/6)</f>
        <v>3391.5062836012958</v>
      </c>
      <c r="EI56">
        <f t="shared" si="82"/>
        <v>3417.8330178517731</v>
      </c>
      <c r="EJ56">
        <f t="shared" si="82"/>
        <v>3444.1605867249832</v>
      </c>
      <c r="EK56">
        <f t="shared" si="82"/>
        <v>3470.4889966767964</v>
      </c>
      <c r="EL56">
        <f t="shared" si="82"/>
        <v>3496.8182541638971</v>
      </c>
      <c r="EM56">
        <f t="shared" si="82"/>
        <v>3523.1483656438022</v>
      </c>
      <c r="EN56">
        <f t="shared" si="82"/>
        <v>3549.4793375748641</v>
      </c>
      <c r="EO56">
        <f t="shared" si="82"/>
        <v>3575.8111764162768</v>
      </c>
      <c r="EP56">
        <f t="shared" si="82"/>
        <v>3602.1438886280789</v>
      </c>
      <c r="EQ56">
        <f t="shared" si="82"/>
        <v>3628.4774806711671</v>
      </c>
      <c r="ER56">
        <f t="shared" si="82"/>
        <v>3654.8119590072988</v>
      </c>
      <c r="ES56">
        <f t="shared" si="82"/>
        <v>3681.1473300990951</v>
      </c>
      <c r="ET56">
        <f t="shared" si="82"/>
        <v>3707.4836004100521</v>
      </c>
      <c r="EU56">
        <f t="shared" si="82"/>
        <v>3733.8207764045469</v>
      </c>
      <c r="EV56">
        <f t="shared" si="82"/>
        <v>3760.1588645478382</v>
      </c>
      <c r="EW56">
        <f t="shared" si="82"/>
        <v>3786.4978713060841</v>
      </c>
      <c r="EX56">
        <f t="shared" si="82"/>
        <v>3812.8378031463371</v>
      </c>
      <c r="EY56">
        <f t="shared" si="82"/>
        <v>3839.178666536553</v>
      </c>
      <c r="EZ56">
        <f t="shared" si="82"/>
        <v>3865.5204679456033</v>
      </c>
      <c r="FA56">
        <f t="shared" si="82"/>
        <v>3891.8632138432763</v>
      </c>
      <c r="FB56">
        <f t="shared" si="82"/>
        <v>3918.2069107002822</v>
      </c>
      <c r="FC56">
        <f t="shared" si="82"/>
        <v>3944.5515649882673</v>
      </c>
      <c r="FD56">
        <f t="shared" si="82"/>
        <v>3970.8971831798071</v>
      </c>
      <c r="FE56">
        <f t="shared" si="82"/>
        <v>3997.2437717484272</v>
      </c>
      <c r="FF56">
        <f t="shared" si="82"/>
        <v>4023.5913371686001</v>
      </c>
      <c r="FG56">
        <f t="shared" si="82"/>
        <v>4049.9398859157563</v>
      </c>
      <c r="FH56">
        <f t="shared" si="82"/>
        <v>4076.2894244662862</v>
      </c>
      <c r="FI56">
        <f t="shared" si="82"/>
        <v>4102.6399592975513</v>
      </c>
      <c r="FJ56">
        <f t="shared" si="82"/>
        <v>4128.9914968878893</v>
      </c>
      <c r="FK56">
        <f t="shared" si="82"/>
        <v>4155.3440437166164</v>
      </c>
      <c r="FL56">
        <f t="shared" si="82"/>
        <v>4181.6976062640406</v>
      </c>
      <c r="FM56">
        <f t="shared" si="82"/>
        <v>4208.0521910114621</v>
      </c>
      <c r="FN56">
        <f t="shared" si="82"/>
        <v>4234.4078044411835</v>
      </c>
      <c r="FO56">
        <f t="shared" si="82"/>
        <v>4260.7644530365151</v>
      </c>
      <c r="FP56">
        <f t="shared" si="82"/>
        <v>4287.1221432817802</v>
      </c>
      <c r="FQ56">
        <f t="shared" si="82"/>
        <v>4313.4808816623199</v>
      </c>
      <c r="FR56">
        <f t="shared" si="82"/>
        <v>4339.8406746645087</v>
      </c>
      <c r="FS56">
        <f t="shared" si="82"/>
        <v>4366.2015287757467</v>
      </c>
      <c r="FT56">
        <f t="shared" si="82"/>
        <v>4392.5634504844775</v>
      </c>
      <c r="FU56">
        <f t="shared" si="82"/>
        <v>4418.9264462801921</v>
      </c>
      <c r="FV56">
        <f t="shared" si="82"/>
        <v>4445.2905226534294</v>
      </c>
      <c r="FW56">
        <f t="shared" si="82"/>
        <v>4471.6556860957899</v>
      </c>
      <c r="FX56">
        <f t="shared" si="82"/>
        <v>4498.0219430999396</v>
      </c>
      <c r="FY56">
        <f t="shared" si="82"/>
        <v>4524.3893001596134</v>
      </c>
      <c r="FZ56">
        <f t="shared" si="82"/>
        <v>4550.7577637696286</v>
      </c>
      <c r="GA56">
        <f t="shared" si="82"/>
        <v>4577.1273404258827</v>
      </c>
      <c r="GB56">
        <f t="shared" si="82"/>
        <v>4603.4980366253676</v>
      </c>
      <c r="GC56">
        <f t="shared" si="82"/>
        <v>4629.8698588661691</v>
      </c>
      <c r="GD56">
        <f t="shared" si="82"/>
        <v>4656.2428136474791</v>
      </c>
      <c r="GE56">
        <f t="shared" si="82"/>
        <v>4682.616907469599</v>
      </c>
      <c r="GF56">
        <f t="shared" si="82"/>
        <v>4708.9921468339489</v>
      </c>
      <c r="GG56">
        <f t="shared" si="82"/>
        <v>4735.3685382430695</v>
      </c>
      <c r="GH56">
        <f t="shared" si="82"/>
        <v>4761.7460882006289</v>
      </c>
      <c r="GI56">
        <f t="shared" si="82"/>
        <v>4788.1248032114381</v>
      </c>
      <c r="GJ56">
        <f t="shared" si="82"/>
        <v>4814.5046897814454</v>
      </c>
      <c r="GK56">
        <f t="shared" si="82"/>
        <v>4840.885754417749</v>
      </c>
      <c r="GL56">
        <f t="shared" si="82"/>
        <v>4867.2680036286038</v>
      </c>
      <c r="GM56">
        <f t="shared" si="82"/>
        <v>4893.6514439234224</v>
      </c>
      <c r="GN56">
        <f t="shared" si="82"/>
        <v>4920.0360818127938</v>
      </c>
      <c r="GO56">
        <f t="shared" si="82"/>
        <v>4946.4219238084697</v>
      </c>
      <c r="GP56">
        <f t="shared" si="82"/>
        <v>4972.8089764233991</v>
      </c>
      <c r="GQ56">
        <f t="shared" si="82"/>
        <v>4999.1972461717023</v>
      </c>
      <c r="GR56">
        <f t="shared" si="82"/>
        <v>5025.5867395687055</v>
      </c>
      <c r="GS56">
        <f t="shared" si="82"/>
        <v>5051.9774631309301</v>
      </c>
      <c r="GT56">
        <f>(($C55+0.4)*TAN(RADIANS(GT$47))*$D56*0.8*1000*9.8*$C56)+((0.8*TAN(RADIANS(GT$47)))*0.8/2*$D56*1000*9.8)*($C56+0.8/6)</f>
        <v>5078.3694233761071</v>
      </c>
      <c r="GU56">
        <f t="shared" si="83"/>
        <v>5104.7626268231779</v>
      </c>
      <c r="GV56">
        <f t="shared" si="83"/>
        <v>5131.1570799923084</v>
      </c>
      <c r="GW56">
        <f t="shared" si="83"/>
        <v>5157.5527894048873</v>
      </c>
      <c r="GX56">
        <f t="shared" si="83"/>
        <v>5183.9497615835389</v>
      </c>
      <c r="GY56">
        <f t="shared" si="83"/>
        <v>5210.3480030521241</v>
      </c>
      <c r="GZ56">
        <f t="shared" si="83"/>
        <v>5236.7475203357553</v>
      </c>
      <c r="HA56">
        <f t="shared" si="83"/>
        <v>5263.1483199607919</v>
      </c>
      <c r="HB56">
        <f t="shared" si="84"/>
        <v>5289.550408454852</v>
      </c>
      <c r="HC56">
        <f t="shared" si="84"/>
        <v>5315.9537923468279</v>
      </c>
      <c r="HD56">
        <f t="shared" si="84"/>
        <v>5342.3584781668724</v>
      </c>
      <c r="HE56">
        <f t="shared" si="84"/>
        <v>5368.7644724464253</v>
      </c>
      <c r="HF56">
        <f t="shared" si="84"/>
        <v>5395.1717817182071</v>
      </c>
      <c r="HG56">
        <f t="shared" si="84"/>
        <v>5421.5804125162358</v>
      </c>
      <c r="HH56">
        <f t="shared" si="84"/>
        <v>5447.9903713758167</v>
      </c>
      <c r="HI56">
        <f t="shared" si="84"/>
        <v>5474.4016648335664</v>
      </c>
      <c r="HJ56">
        <f t="shared" si="84"/>
        <v>5500.8142994274176</v>
      </c>
      <c r="HK56">
        <f t="shared" si="84"/>
        <v>5527.2282816966117</v>
      </c>
      <c r="HL56">
        <f t="shared" si="85"/>
        <v>5553.6436181817189</v>
      </c>
      <c r="HM56">
        <f t="shared" si="85"/>
        <v>5580.0603154246392</v>
      </c>
      <c r="HN56">
        <f t="shared" si="85"/>
        <v>5606.4783799686111</v>
      </c>
      <c r="HO56">
        <f t="shared" si="85"/>
        <v>5632.8978183582149</v>
      </c>
      <c r="HP56">
        <f t="shared" si="85"/>
        <v>5659.3186371393813</v>
      </c>
      <c r="HQ56">
        <f t="shared" si="85"/>
        <v>5685.7408428593999</v>
      </c>
      <c r="HR56">
        <f t="shared" si="85"/>
        <v>5712.1644420669218</v>
      </c>
      <c r="HS56">
        <f t="shared" si="85"/>
        <v>5738.5894413119704</v>
      </c>
      <c r="HT56">
        <f t="shared" si="85"/>
        <v>5765.0158471459408</v>
      </c>
      <c r="HU56">
        <f t="shared" si="85"/>
        <v>5791.4436661216168</v>
      </c>
      <c r="HV56">
        <f t="shared" si="86"/>
        <v>5817.8729047931683</v>
      </c>
      <c r="HW56">
        <f t="shared" si="86"/>
        <v>5844.3035697161649</v>
      </c>
      <c r="HX56">
        <f t="shared" si="86"/>
        <v>5870.7356674475704</v>
      </c>
      <c r="HY56">
        <f t="shared" si="86"/>
        <v>5897.169204545773</v>
      </c>
      <c r="HZ56">
        <f t="shared" si="86"/>
        <v>5923.6041875705587</v>
      </c>
      <c r="IA56">
        <f t="shared" si="86"/>
        <v>5950.0406230831495</v>
      </c>
      <c r="IB56">
        <f t="shared" si="86"/>
        <v>5976.4785176461946</v>
      </c>
      <c r="IC56">
        <f t="shared" si="86"/>
        <v>6002.9178778237692</v>
      </c>
      <c r="ID56">
        <f t="shared" si="86"/>
        <v>6029.3587101814046</v>
      </c>
      <c r="IE56">
        <f t="shared" si="86"/>
        <v>6055.801021286069</v>
      </c>
      <c r="IF56">
        <f t="shared" si="87"/>
        <v>6082.2448177061924</v>
      </c>
      <c r="IG56">
        <f t="shared" si="87"/>
        <v>6108.6901060116643</v>
      </c>
      <c r="IH56">
        <f t="shared" si="87"/>
        <v>6135.136892773844</v>
      </c>
      <c r="II56">
        <f t="shared" si="87"/>
        <v>6161.5851845655652</v>
      </c>
      <c r="IJ56">
        <f t="shared" si="87"/>
        <v>6188.0349879611413</v>
      </c>
      <c r="IK56">
        <f t="shared" si="87"/>
        <v>6214.4863095363798</v>
      </c>
      <c r="IL56">
        <f t="shared" si="87"/>
        <v>6240.9391558685775</v>
      </c>
      <c r="IM56">
        <f t="shared" si="87"/>
        <v>6267.3935335365341</v>
      </c>
      <c r="IN56">
        <f t="shared" si="87"/>
        <v>6293.8494491205593</v>
      </c>
      <c r="IO56">
        <f t="shared" si="87"/>
        <v>6320.3069092024716</v>
      </c>
      <c r="IP56">
        <f t="shared" si="88"/>
        <v>6346.765920365624</v>
      </c>
      <c r="IQ56">
        <f t="shared" si="88"/>
        <v>6373.2264891948807</v>
      </c>
      <c r="IR56">
        <f t="shared" si="88"/>
        <v>6399.6886222766525</v>
      </c>
      <c r="IS56">
        <f t="shared" si="88"/>
        <v>6426.1523261988841</v>
      </c>
      <c r="IT56">
        <f t="shared" si="88"/>
        <v>6452.6176075510757</v>
      </c>
      <c r="IU56">
        <f t="shared" si="88"/>
        <v>6479.0844729242726</v>
      </c>
      <c r="IV56">
        <f t="shared" si="88"/>
        <v>6505.5529289110909</v>
      </c>
      <c r="IW56">
        <f t="shared" si="88"/>
        <v>6532.0229821057064</v>
      </c>
      <c r="IX56">
        <f t="shared" si="88"/>
        <v>6558.4946391038757</v>
      </c>
      <c r="IY56">
        <f t="shared" si="88"/>
        <v>6584.9679065029295</v>
      </c>
      <c r="IZ56">
        <f t="shared" si="89"/>
        <v>6611.4427909017932</v>
      </c>
      <c r="JA56">
        <f t="shared" si="89"/>
        <v>6637.9192989009798</v>
      </c>
      <c r="JB56">
        <f t="shared" si="89"/>
        <v>6664.3974371026097</v>
      </c>
      <c r="JC56">
        <f t="shared" si="89"/>
        <v>6690.8772121104103</v>
      </c>
      <c r="JD56">
        <f t="shared" si="89"/>
        <v>6717.3586305297131</v>
      </c>
      <c r="JE56">
        <f t="shared" si="89"/>
        <v>6743.8416989674843</v>
      </c>
      <c r="JF56">
        <f t="shared" si="89"/>
        <v>6770.3264240323106</v>
      </c>
      <c r="JG56">
        <f t="shared" si="89"/>
        <v>6796.8128123344159</v>
      </c>
      <c r="JH56">
        <f t="shared" si="89"/>
        <v>6823.3008704856575</v>
      </c>
      <c r="JI56">
        <f t="shared" si="89"/>
        <v>6849.7906050995534</v>
      </c>
      <c r="JJ56">
        <f t="shared" si="90"/>
        <v>6876.2820227912625</v>
      </c>
      <c r="JK56">
        <f t="shared" si="90"/>
        <v>6902.7751301776143</v>
      </c>
      <c r="JL56">
        <f t="shared" si="90"/>
        <v>6929.2699338771035</v>
      </c>
      <c r="JM56">
        <f t="shared" si="90"/>
        <v>6955.7664405098958</v>
      </c>
      <c r="JN56">
        <f t="shared" si="90"/>
        <v>6982.264656697841</v>
      </c>
      <c r="JO56">
        <f t="shared" si="90"/>
        <v>7008.7645890644781</v>
      </c>
      <c r="JP56">
        <f t="shared" si="90"/>
        <v>7035.2662442350338</v>
      </c>
      <c r="JQ56">
        <f t="shared" si="90"/>
        <v>7061.7696288364468</v>
      </c>
      <c r="JR56">
        <f t="shared" si="90"/>
        <v>7088.2747494973537</v>
      </c>
      <c r="JS56">
        <f t="shared" si="90"/>
        <v>7114.7816128481099</v>
      </c>
      <c r="JT56">
        <f t="shared" si="91"/>
        <v>7141.2902255207955</v>
      </c>
      <c r="JU56">
        <f t="shared" si="91"/>
        <v>7167.8005941492102</v>
      </c>
      <c r="JV56">
        <f t="shared" si="91"/>
        <v>7194.3127253688963</v>
      </c>
      <c r="JW56">
        <f t="shared" si="91"/>
        <v>7220.8266258171361</v>
      </c>
      <c r="JX56">
        <f t="shared" si="91"/>
        <v>7247.3423021329545</v>
      </c>
      <c r="JY56">
        <f t="shared" si="91"/>
        <v>7273.8597609571389</v>
      </c>
      <c r="JZ56">
        <f t="shared" si="91"/>
        <v>7300.3790089322356</v>
      </c>
      <c r="KA56">
        <f t="shared" si="91"/>
        <v>7326.9000527025537</v>
      </c>
      <c r="KB56">
        <f t="shared" si="91"/>
        <v>7353.4228989141884</v>
      </c>
      <c r="KC56">
        <f t="shared" si="91"/>
        <v>7379.9475542150076</v>
      </c>
      <c r="KD56">
        <f t="shared" si="92"/>
        <v>7406.4740252546744</v>
      </c>
      <c r="KE56">
        <f t="shared" si="92"/>
        <v>7433.0023186846429</v>
      </c>
      <c r="KF56">
        <f t="shared" si="92"/>
        <v>7459.5324411581723</v>
      </c>
      <c r="KG56">
        <f t="shared" si="92"/>
        <v>7486.0643993303238</v>
      </c>
      <c r="KH56">
        <f t="shared" si="92"/>
        <v>7512.5981998579855</v>
      </c>
      <c r="KI56">
        <f t="shared" si="92"/>
        <v>7539.1338493998619</v>
      </c>
      <c r="KJ56">
        <f t="shared" si="92"/>
        <v>7565.6713546164865</v>
      </c>
      <c r="KK56">
        <f t="shared" si="92"/>
        <v>7592.2107221702308</v>
      </c>
      <c r="KL56">
        <f t="shared" si="92"/>
        <v>7618.7519587253037</v>
      </c>
      <c r="KM56">
        <f t="shared" si="92"/>
        <v>7645.2950709477764</v>
      </c>
      <c r="KN56">
        <f t="shared" si="93"/>
        <v>7671.8400655055611</v>
      </c>
      <c r="KO56">
        <f t="shared" si="93"/>
        <v>7698.3869490684419</v>
      </c>
      <c r="KP56">
        <f t="shared" si="93"/>
        <v>7724.9357283080762</v>
      </c>
      <c r="KQ56">
        <f t="shared" si="93"/>
        <v>7751.486409897987</v>
      </c>
      <c r="KR56">
        <f t="shared" si="93"/>
        <v>7778.0390005135932</v>
      </c>
      <c r="KS56">
        <f t="shared" si="93"/>
        <v>7804.5935068321942</v>
      </c>
      <c r="KT56">
        <f t="shared" si="93"/>
        <v>7831.1499355329934</v>
      </c>
      <c r="KU56">
        <f t="shared" si="93"/>
        <v>7857.708293297097</v>
      </c>
      <c r="KV56">
        <f t="shared" si="93"/>
        <v>7884.2685868075205</v>
      </c>
      <c r="KW56">
        <f t="shared" si="93"/>
        <v>7910.8308227491962</v>
      </c>
      <c r="KX56">
        <f t="shared" si="94"/>
        <v>7937.395007808982</v>
      </c>
      <c r="KY56">
        <f t="shared" si="94"/>
        <v>7963.961148675673</v>
      </c>
      <c r="KZ56">
        <f t="shared" si="94"/>
        <v>7990.5292520399898</v>
      </c>
      <c r="LA56">
        <f t="shared" si="94"/>
        <v>8017.099324594612</v>
      </c>
      <c r="LB56">
        <f t="shared" si="94"/>
        <v>8043.6713730341617</v>
      </c>
      <c r="LC56">
        <f t="shared" si="94"/>
        <v>8070.2454040552238</v>
      </c>
      <c r="LD56">
        <f t="shared" si="94"/>
        <v>8096.8214243563498</v>
      </c>
      <c r="LE56">
        <f t="shared" si="94"/>
        <v>8123.3994406380589</v>
      </c>
      <c r="LF56">
        <f t="shared" si="94"/>
        <v>8149.9794596028569</v>
      </c>
      <c r="LG56">
        <f t="shared" si="94"/>
        <v>8176.5614879552277</v>
      </c>
      <c r="LH56">
        <f t="shared" si="95"/>
        <v>8203.1455324016551</v>
      </c>
      <c r="LI56">
        <f t="shared" si="95"/>
        <v>8229.7315996506204</v>
      </c>
      <c r="LJ56">
        <f t="shared" si="95"/>
        <v>8256.3196964126091</v>
      </c>
      <c r="LK56">
        <f t="shared" si="95"/>
        <v>8282.9098294001233</v>
      </c>
      <c r="LL56">
        <f t="shared" si="95"/>
        <v>8309.5020053276894</v>
      </c>
      <c r="LM56">
        <f t="shared" si="95"/>
        <v>8336.0962309118568</v>
      </c>
      <c r="LN56">
        <f t="shared" si="95"/>
        <v>8362.6925128712046</v>
      </c>
      <c r="LO56">
        <f t="shared" si="95"/>
        <v>8389.2908579263658</v>
      </c>
      <c r="LP56">
        <f t="shared" si="95"/>
        <v>8415.8912728000123</v>
      </c>
      <c r="LQ56">
        <f t="shared" si="95"/>
        <v>8442.4937642168734</v>
      </c>
      <c r="LR56">
        <f t="shared" si="96"/>
        <v>8469.0983389037374</v>
      </c>
      <c r="LS56">
        <f t="shared" si="96"/>
        <v>8495.7050035894736</v>
      </c>
      <c r="LT56">
        <f t="shared" si="96"/>
        <v>8522.3137650050085</v>
      </c>
      <c r="LU56">
        <f t="shared" si="96"/>
        <v>8548.9246298833696</v>
      </c>
      <c r="LV56">
        <f t="shared" si="96"/>
        <v>8575.5376049596653</v>
      </c>
      <c r="LW56">
        <f t="shared" si="96"/>
        <v>8602.1526969710994</v>
      </c>
      <c r="LX56">
        <f t="shared" si="96"/>
        <v>8628.7699126569805</v>
      </c>
      <c r="LY56">
        <f t="shared" si="96"/>
        <v>8655.3892587587306</v>
      </c>
      <c r="LZ56">
        <f t="shared" si="96"/>
        <v>8682.0107420198929</v>
      </c>
      <c r="MA56">
        <f t="shared" si="96"/>
        <v>8708.6343691861202</v>
      </c>
      <c r="MB56">
        <f t="shared" si="97"/>
        <v>8735.2601470052141</v>
      </c>
      <c r="MC56">
        <f t="shared" si="97"/>
        <v>8761.8880822271076</v>
      </c>
      <c r="MD56">
        <f t="shared" si="97"/>
        <v>8788.5181816038785</v>
      </c>
      <c r="ME56">
        <f t="shared" si="97"/>
        <v>8815.1504518897564</v>
      </c>
      <c r="MF56">
        <f t="shared" si="97"/>
        <v>8841.7848998411318</v>
      </c>
      <c r="MG56">
        <f t="shared" si="97"/>
        <v>8868.4215322165601</v>
      </c>
      <c r="MH56">
        <f t="shared" si="97"/>
        <v>8895.0603557767718</v>
      </c>
      <c r="MI56">
        <f t="shared" si="97"/>
        <v>8921.7013772846767</v>
      </c>
      <c r="MJ56">
        <f t="shared" si="97"/>
        <v>8948.3446035053748</v>
      </c>
      <c r="MK56">
        <f t="shared" si="97"/>
        <v>8974.9900412061561</v>
      </c>
      <c r="ML56">
        <f t="shared" si="98"/>
        <v>9001.6376971565187</v>
      </c>
      <c r="MM56">
        <f t="shared" si="98"/>
        <v>9028.2875781281564</v>
      </c>
      <c r="MN56">
        <f t="shared" si="98"/>
        <v>9054.9396908949966</v>
      </c>
      <c r="MO56">
        <f t="shared" si="98"/>
        <v>9081.5940422331714</v>
      </c>
      <c r="MP56">
        <f t="shared" si="98"/>
        <v>9108.2506389210539</v>
      </c>
      <c r="MQ56">
        <f t="shared" si="98"/>
        <v>9134.909487739249</v>
      </c>
      <c r="MR56">
        <f t="shared" si="98"/>
        <v>9161.5705954706045</v>
      </c>
      <c r="MS56">
        <f t="shared" si="98"/>
        <v>9188.2339689002238</v>
      </c>
      <c r="MT56">
        <f t="shared" si="98"/>
        <v>9214.8996148154638</v>
      </c>
      <c r="MU56">
        <f t="shared" si="98"/>
        <v>9241.5675400059426</v>
      </c>
      <c r="MV56">
        <f t="shared" si="99"/>
        <v>9268.2377512635576</v>
      </c>
      <c r="MW56">
        <f t="shared" si="99"/>
        <v>9294.9102553824832</v>
      </c>
      <c r="MX56">
        <f t="shared" si="99"/>
        <v>9321.585059159177</v>
      </c>
      <c r="MY56">
        <f t="shared" si="99"/>
        <v>9348.2621693923902</v>
      </c>
      <c r="MZ56">
        <f t="shared" si="99"/>
        <v>9374.9415928831731</v>
      </c>
      <c r="NA56">
        <f t="shared" si="99"/>
        <v>9401.6233364348864</v>
      </c>
      <c r="NB56">
        <f t="shared" si="99"/>
        <v>9428.3074068532023</v>
      </c>
      <c r="NC56">
        <f t="shared" si="99"/>
        <v>9454.9938109461164</v>
      </c>
      <c r="ND56">
        <f t="shared" si="99"/>
        <v>9481.6825555239502</v>
      </c>
      <c r="NE56">
        <f t="shared" si="99"/>
        <v>9508.3736473993595</v>
      </c>
      <c r="NF56">
        <f t="shared" si="100"/>
        <v>9535.0670933873462</v>
      </c>
      <c r="NG56">
        <f t="shared" si="100"/>
        <v>9561.7629003052625</v>
      </c>
      <c r="NH56">
        <f t="shared" si="100"/>
        <v>9588.4610749728145</v>
      </c>
      <c r="NI56">
        <f t="shared" si="100"/>
        <v>9615.161624212069</v>
      </c>
      <c r="NJ56">
        <f t="shared" si="100"/>
        <v>9641.8645548474778</v>
      </c>
      <c r="NK56">
        <f t="shared" si="100"/>
        <v>9668.5698737058501</v>
      </c>
      <c r="NL56">
        <f t="shared" si="100"/>
        <v>9695.2775876163942</v>
      </c>
      <c r="NM56">
        <f t="shared" si="100"/>
        <v>9721.9877034107121</v>
      </c>
      <c r="NN56">
        <f t="shared" si="100"/>
        <v>9748.7002279228036</v>
      </c>
      <c r="NO56">
        <f t="shared" si="100"/>
        <v>9775.4151679890601</v>
      </c>
      <c r="NP56">
        <f t="shared" si="101"/>
        <v>9802.1325304483071</v>
      </c>
      <c r="NQ56">
        <f t="shared" si="101"/>
        <v>9828.852322141789</v>
      </c>
      <c r="NR56">
        <f t="shared" si="101"/>
        <v>9855.5745499131644</v>
      </c>
      <c r="NS56">
        <f t="shared" si="101"/>
        <v>9882.2992206085382</v>
      </c>
      <c r="NT56">
        <f t="shared" si="101"/>
        <v>9909.0263410764546</v>
      </c>
      <c r="NU56">
        <f t="shared" si="101"/>
        <v>9935.7559181679153</v>
      </c>
      <c r="NV56">
        <f t="shared" si="101"/>
        <v>9962.487958736363</v>
      </c>
      <c r="NW56">
        <f t="shared" si="101"/>
        <v>9989.2224696377216</v>
      </c>
      <c r="NX56">
        <f t="shared" si="101"/>
        <v>10015.959457730372</v>
      </c>
      <c r="NY56">
        <f t="shared" si="101"/>
        <v>10042.69892987518</v>
      </c>
      <c r="NZ56">
        <f t="shared" si="102"/>
        <v>10069.440892935501</v>
      </c>
      <c r="OA56">
        <f t="shared" si="102"/>
        <v>10096.185353777177</v>
      </c>
      <c r="OB56">
        <f t="shared" si="102"/>
        <v>10122.932319268552</v>
      </c>
      <c r="OC56">
        <f t="shared" si="102"/>
        <v>10149.681796280476</v>
      </c>
      <c r="OD56">
        <f t="shared" si="102"/>
        <v>10176.433791686324</v>
      </c>
      <c r="OE56">
        <f t="shared" si="102"/>
        <v>10203.188312361974</v>
      </c>
      <c r="OF56">
        <f t="shared" si="102"/>
        <v>10229.945365185851</v>
      </c>
      <c r="OG56">
        <f t="shared" si="102"/>
        <v>10256.704957038899</v>
      </c>
      <c r="OH56">
        <f t="shared" si="102"/>
        <v>10283.467094804626</v>
      </c>
      <c r="OI56">
        <f t="shared" si="102"/>
        <v>10310.231785369073</v>
      </c>
      <c r="OJ56">
        <f t="shared" si="103"/>
        <v>10336.999035620853</v>
      </c>
      <c r="OK56">
        <f t="shared" si="103"/>
        <v>10363.768852451125</v>
      </c>
      <c r="OL56">
        <f t="shared" si="103"/>
        <v>10390.541242753648</v>
      </c>
      <c r="OM56">
        <f t="shared" si="103"/>
        <v>10417.316213424736</v>
      </c>
      <c r="ON56">
        <f t="shared" si="103"/>
        <v>10444.093771363303</v>
      </c>
      <c r="OO56">
        <f t="shared" si="103"/>
        <v>10470.873923470854</v>
      </c>
      <c r="OP56">
        <f t="shared" si="103"/>
        <v>10497.656676651499</v>
      </c>
      <c r="OQ56">
        <f t="shared" si="103"/>
        <v>10524.44203781195</v>
      </c>
      <c r="OR56">
        <f t="shared" si="103"/>
        <v>10551.230013861546</v>
      </c>
      <c r="OS56">
        <f t="shared" si="103"/>
        <v>10578.02061171224</v>
      </c>
      <c r="OT56">
        <f t="shared" si="104"/>
        <v>10604.813838278618</v>
      </c>
      <c r="OU56">
        <f t="shared" si="104"/>
        <v>10631.609700477902</v>
      </c>
      <c r="OV56">
        <f t="shared" si="104"/>
        <v>10658.408205229978</v>
      </c>
      <c r="OW56">
        <f t="shared" si="104"/>
        <v>10685.20935945736</v>
      </c>
      <c r="OX56">
        <f t="shared" si="104"/>
        <v>10712.013170085229</v>
      </c>
      <c r="OY56">
        <f t="shared" si="104"/>
        <v>10738.819644041443</v>
      </c>
      <c r="OZ56">
        <f t="shared" si="104"/>
        <v>10765.628788256536</v>
      </c>
      <c r="PA56">
        <f t="shared" si="104"/>
        <v>10792.440609663703</v>
      </c>
      <c r="PB56">
        <f t="shared" si="104"/>
        <v>10819.255115198861</v>
      </c>
      <c r="PC56">
        <f t="shared" si="104"/>
        <v>10846.072311800588</v>
      </c>
      <c r="PD56">
        <f t="shared" si="105"/>
        <v>10872.892206410204</v>
      </c>
      <c r="PE56">
        <f t="shared" si="105"/>
        <v>10899.714805971707</v>
      </c>
      <c r="PF56">
        <f t="shared" si="105"/>
        <v>10926.540117431838</v>
      </c>
      <c r="PG56">
        <f t="shared" si="105"/>
        <v>10953.368147740053</v>
      </c>
      <c r="PH56">
        <f t="shared" si="105"/>
        <v>10980.198903848546</v>
      </c>
      <c r="PI56">
        <f t="shared" si="105"/>
        <v>11007.032392712252</v>
      </c>
      <c r="PJ56">
        <f t="shared" si="105"/>
        <v>11033.86862128885</v>
      </c>
      <c r="PK56">
        <f t="shared" si="105"/>
        <v>11060.707596538785</v>
      </c>
      <c r="PL56">
        <f t="shared" si="105"/>
        <v>11087.54932542526</v>
      </c>
      <c r="PM56">
        <f t="shared" si="105"/>
        <v>11114.393814914249</v>
      </c>
      <c r="PN56">
        <f t="shared" si="106"/>
        <v>11141.241071974504</v>
      </c>
      <c r="PO56">
        <f t="shared" si="106"/>
        <v>11168.091103577566</v>
      </c>
      <c r="PP56">
        <f t="shared" si="106"/>
        <v>11194.943916697768</v>
      </c>
      <c r="PQ56">
        <f t="shared" si="106"/>
        <v>11221.799518312233</v>
      </c>
      <c r="PR56">
        <f t="shared" si="106"/>
        <v>11248.657915400918</v>
      </c>
      <c r="PS56">
        <f t="shared" si="106"/>
        <v>11275.51911494657</v>
      </c>
      <c r="PT56">
        <f t="shared" si="106"/>
        <v>11302.383123934776</v>
      </c>
      <c r="PU56">
        <f t="shared" si="106"/>
        <v>11329.249949353945</v>
      </c>
      <c r="PV56">
        <f t="shared" si="106"/>
        <v>11356.11959819533</v>
      </c>
      <c r="PW56">
        <f t="shared" si="106"/>
        <v>11382.992077453022</v>
      </c>
      <c r="PX56">
        <f t="shared" si="107"/>
        <v>11409.867394123972</v>
      </c>
      <c r="PY56">
        <f t="shared" si="107"/>
        <v>11436.74555520799</v>
      </c>
      <c r="PZ56">
        <f t="shared" si="107"/>
        <v>11463.626567707755</v>
      </c>
      <c r="QA56">
        <f t="shared" si="107"/>
        <v>11490.510438628817</v>
      </c>
      <c r="QB56">
        <f t="shared" si="107"/>
        <v>11517.397174979615</v>
      </c>
      <c r="QC56">
        <f t="shared" si="107"/>
        <v>11544.28678377148</v>
      </c>
      <c r="QD56">
        <f t="shared" si="107"/>
        <v>11571.179272018629</v>
      </c>
      <c r="QE56">
        <f t="shared" si="107"/>
        <v>11598.074646738205</v>
      </c>
      <c r="QF56">
        <f t="shared" si="107"/>
        <v>11624.972914950247</v>
      </c>
      <c r="QG56">
        <f t="shared" si="107"/>
        <v>11651.874083677725</v>
      </c>
      <c r="QH56">
        <f t="shared" si="108"/>
        <v>11678.778159946523</v>
      </c>
      <c r="QI56">
        <f t="shared" si="108"/>
        <v>11705.685150785488</v>
      </c>
      <c r="QJ56">
        <f t="shared" si="108"/>
        <v>11732.595063226381</v>
      </c>
      <c r="QK56">
        <f t="shared" si="108"/>
        <v>11759.507904303937</v>
      </c>
      <c r="QL56">
        <f t="shared" si="108"/>
        <v>11786.423681055838</v>
      </c>
      <c r="QM56">
        <f t="shared" si="108"/>
        <v>11813.342400522732</v>
      </c>
      <c r="QN56">
        <f t="shared" si="108"/>
        <v>11840.264069748244</v>
      </c>
      <c r="QO56">
        <f t="shared" si="108"/>
        <v>11867.188695778988</v>
      </c>
      <c r="QP56">
        <f t="shared" si="108"/>
        <v>11894.11628566455</v>
      </c>
      <c r="QQ56">
        <f t="shared" si="108"/>
        <v>11921.046846457526</v>
      </c>
      <c r="QR56">
        <f t="shared" si="109"/>
        <v>11947.980385213519</v>
      </c>
      <c r="QS56">
        <f t="shared" si="109"/>
        <v>11974.916908991123</v>
      </c>
      <c r="QT56">
        <f t="shared" si="109"/>
        <v>12001.856424851991</v>
      </c>
      <c r="QU56">
        <f t="shared" si="109"/>
        <v>12028.798939860757</v>
      </c>
      <c r="QV56">
        <f t="shared" si="109"/>
        <v>12055.744461085123</v>
      </c>
      <c r="QW56">
        <f t="shared" si="109"/>
        <v>12082.69299559582</v>
      </c>
      <c r="QX56">
        <f t="shared" si="109"/>
        <v>12109.64455046665</v>
      </c>
      <c r="QY56">
        <f t="shared" si="109"/>
        <v>12136.599132774405</v>
      </c>
      <c r="QZ56">
        <f t="shared" si="109"/>
        <v>12163.556749599044</v>
      </c>
      <c r="RA56">
        <f t="shared" si="109"/>
        <v>12190.517408023525</v>
      </c>
      <c r="RB56">
        <f t="shared" si="110"/>
        <v>12217.481115133935</v>
      </c>
      <c r="RC56">
        <f t="shared" si="110"/>
        <v>12244.447878019375</v>
      </c>
      <c r="RD56">
        <f t="shared" si="110"/>
        <v>12271.417703772135</v>
      </c>
      <c r="RE56">
        <f t="shared" si="110"/>
        <v>12298.390599487555</v>
      </c>
      <c r="RF56">
        <f t="shared" si="110"/>
        <v>12325.366572264109</v>
      </c>
      <c r="RG56">
        <f t="shared" si="110"/>
        <v>12352.345629203344</v>
      </c>
      <c r="RH56">
        <f t="shared" si="110"/>
        <v>12379.327777410006</v>
      </c>
      <c r="RI56">
        <f t="shared" si="110"/>
        <v>12406.313023991932</v>
      </c>
      <c r="RJ56">
        <f t="shared" si="110"/>
        <v>12433.301376060117</v>
      </c>
      <c r="RK56">
        <f t="shared" si="110"/>
        <v>12460.292840728662</v>
      </c>
      <c r="RL56">
        <f t="shared" si="111"/>
        <v>12487.287425114908</v>
      </c>
      <c r="RM56">
        <f t="shared" si="111"/>
        <v>12514.285136339298</v>
      </c>
      <c r="RN56">
        <f t="shared" si="111"/>
        <v>12541.285981525485</v>
      </c>
      <c r="RO56">
        <f t="shared" si="111"/>
        <v>12568.28996780025</v>
      </c>
      <c r="RP56">
        <f t="shared" si="111"/>
        <v>12595.297102293636</v>
      </c>
      <c r="RQ56">
        <f t="shared" si="111"/>
        <v>12622.307392138833</v>
      </c>
      <c r="RR56">
        <f t="shared" si="111"/>
        <v>12649.32084447227</v>
      </c>
      <c r="RS56">
        <f t="shared" si="111"/>
        <v>12676.337466433532</v>
      </c>
      <c r="RT56">
        <f t="shared" si="111"/>
        <v>12703.35726516549</v>
      </c>
      <c r="RU56">
        <f t="shared" si="111"/>
        <v>12730.380247814228</v>
      </c>
      <c r="RV56">
        <f t="shared" si="112"/>
        <v>12757.406421529015</v>
      </c>
      <c r="RW56">
        <f t="shared" si="112"/>
        <v>12784.435793462422</v>
      </c>
      <c r="RX56">
        <f t="shared" si="112"/>
        <v>12811.468370770246</v>
      </c>
      <c r="RY56">
        <f t="shared" si="112"/>
        <v>12838.504160611583</v>
      </c>
      <c r="RZ56">
        <f t="shared" si="112"/>
        <v>12865.543170148725</v>
      </c>
      <c r="SA56">
        <f t="shared" si="112"/>
        <v>12892.585406547287</v>
      </c>
      <c r="SB56">
        <f t="shared" si="112"/>
        <v>12919.630876976156</v>
      </c>
      <c r="SC56">
        <f t="shared" si="112"/>
        <v>12946.679588607547</v>
      </c>
      <c r="SD56">
        <f t="shared" si="112"/>
        <v>12973.731548616901</v>
      </c>
      <c r="SE56">
        <f t="shared" si="112"/>
        <v>13000.786764183013</v>
      </c>
      <c r="SF56">
        <f t="shared" si="113"/>
        <v>13027.84524248798</v>
      </c>
      <c r="SG56">
        <f t="shared" si="113"/>
        <v>13054.906990717265</v>
      </c>
      <c r="SH56">
        <f t="shared" si="113"/>
        <v>13081.972016059577</v>
      </c>
      <c r="SI56">
        <f t="shared" si="113"/>
        <v>13109.04032570703</v>
      </c>
      <c r="SJ56">
        <f t="shared" si="113"/>
        <v>13136.111926855048</v>
      </c>
      <c r="SK56">
        <f t="shared" si="113"/>
        <v>13163.186826702469</v>
      </c>
      <c r="SL56">
        <f t="shared" si="113"/>
        <v>13190.265032451405</v>
      </c>
      <c r="SM56">
        <f t="shared" si="113"/>
        <v>13217.346551307401</v>
      </c>
      <c r="SN56">
        <f t="shared" si="113"/>
        <v>13244.431390479349</v>
      </c>
      <c r="SO56">
        <f t="shared" si="113"/>
        <v>13271.519557179565</v>
      </c>
      <c r="SP56">
        <f t="shared" si="114"/>
        <v>13298.61105862373</v>
      </c>
      <c r="SQ56">
        <f t="shared" si="114"/>
        <v>13325.705902030924</v>
      </c>
      <c r="SR56">
        <f t="shared" si="114"/>
        <v>13352.804094623656</v>
      </c>
      <c r="SS56">
        <f t="shared" si="114"/>
        <v>13379.90564362783</v>
      </c>
      <c r="ST56">
        <f t="shared" si="114"/>
        <v>13407.0105562728</v>
      </c>
      <c r="SU56">
        <f t="shared" si="114"/>
        <v>13434.118839791339</v>
      </c>
      <c r="SV56">
        <f t="shared" si="114"/>
        <v>13461.23050141967</v>
      </c>
      <c r="SW56">
        <f t="shared" si="114"/>
        <v>13488.345548397463</v>
      </c>
      <c r="SX56">
        <f t="shared" si="114"/>
        <v>13515.463987967836</v>
      </c>
      <c r="SY56">
        <f t="shared" si="114"/>
        <v>13542.585827377401</v>
      </c>
      <c r="SZ56">
        <f t="shared" si="115"/>
        <v>13569.711073876213</v>
      </c>
      <c r="TA56">
        <f t="shared" si="115"/>
        <v>13596.839734717832</v>
      </c>
      <c r="TB56">
        <f t="shared" si="115"/>
        <v>13623.971817159296</v>
      </c>
      <c r="TC56">
        <f t="shared" si="115"/>
        <v>13651.107328461148</v>
      </c>
      <c r="TD56">
        <f t="shared" si="115"/>
        <v>13678.24627588743</v>
      </c>
      <c r="TE56">
        <f t="shared" si="115"/>
        <v>13705.388666705712</v>
      </c>
      <c r="TF56">
        <f t="shared" si="115"/>
        <v>13732.534508187073</v>
      </c>
      <c r="TG56">
        <f t="shared" si="115"/>
        <v>13759.68380760613</v>
      </c>
      <c r="TH56">
        <f t="shared" si="115"/>
        <v>13786.836572241044</v>
      </c>
      <c r="TI56">
        <f t="shared" si="115"/>
        <v>13813.992809373503</v>
      </c>
      <c r="TJ56">
        <f t="shared" si="116"/>
        <v>13841.152526288775</v>
      </c>
      <c r="TK56">
        <f t="shared" si="116"/>
        <v>13868.315730275674</v>
      </c>
      <c r="TL56">
        <f t="shared" si="116"/>
        <v>13895.482428626599</v>
      </c>
      <c r="TM56">
        <f t="shared" si="116"/>
        <v>13922.652628637519</v>
      </c>
      <c r="TN56">
        <f t="shared" si="116"/>
        <v>13949.826337607992</v>
      </c>
      <c r="TO56">
        <f t="shared" si="116"/>
        <v>13977.003562841172</v>
      </c>
      <c r="TP56">
        <f t="shared" si="116"/>
        <v>14004.184311643825</v>
      </c>
      <c r="TQ56">
        <f t="shared" si="116"/>
        <v>14031.36859132632</v>
      </c>
      <c r="TR56">
        <f t="shared" si="116"/>
        <v>14058.556409202643</v>
      </c>
      <c r="TS56">
        <f t="shared" si="116"/>
        <v>14085.747772590425</v>
      </c>
      <c r="TT56">
        <f t="shared" si="117"/>
        <v>14112.942688810923</v>
      </c>
      <c r="TU56">
        <f t="shared" si="117"/>
        <v>14140.141165189034</v>
      </c>
      <c r="TV56">
        <f t="shared" si="117"/>
        <v>14167.343209053321</v>
      </c>
      <c r="TW56">
        <f t="shared" si="117"/>
        <v>14194.548827736004</v>
      </c>
      <c r="TX56">
        <f t="shared" si="117"/>
        <v>14221.758028572964</v>
      </c>
      <c r="TY56">
        <f t="shared" si="117"/>
        <v>14248.970818903772</v>
      </c>
      <c r="TZ56">
        <f t="shared" si="117"/>
        <v>14276.18720607168</v>
      </c>
      <c r="UA56">
        <f t="shared" si="117"/>
        <v>14303.407197423639</v>
      </c>
      <c r="UB56">
        <f t="shared" si="117"/>
        <v>14330.630800310288</v>
      </c>
      <c r="UC56">
        <f t="shared" si="117"/>
        <v>14357.858022086006</v>
      </c>
      <c r="UD56">
        <f t="shared" si="118"/>
        <v>14385.088870108857</v>
      </c>
      <c r="UE56">
        <f t="shared" si="118"/>
        <v>14412.323351740653</v>
      </c>
      <c r="UF56">
        <f t="shared" si="118"/>
        <v>14439.56147434695</v>
      </c>
      <c r="UG56">
        <f t="shared" si="118"/>
        <v>14466.803245297026</v>
      </c>
      <c r="UH56">
        <f t="shared" si="118"/>
        <v>14494.048671963923</v>
      </c>
      <c r="UI56">
        <f t="shared" si="118"/>
        <v>14521.297761724447</v>
      </c>
      <c r="UJ56">
        <f t="shared" si="118"/>
        <v>14548.550521959165</v>
      </c>
      <c r="UK56">
        <f t="shared" si="118"/>
        <v>14575.806960052438</v>
      </c>
      <c r="UL56">
        <f t="shared" si="118"/>
        <v>14603.067083392387</v>
      </c>
      <c r="UM56">
        <f t="shared" si="118"/>
        <v>14630.330899370952</v>
      </c>
      <c r="UN56">
        <f t="shared" si="119"/>
        <v>14657.598415383862</v>
      </c>
      <c r="UO56">
        <f t="shared" si="119"/>
        <v>14684.869638830653</v>
      </c>
      <c r="UP56">
        <f t="shared" si="119"/>
        <v>14712.144577114705</v>
      </c>
      <c r="UQ56">
        <f t="shared" si="119"/>
        <v>14739.423237643199</v>
      </c>
      <c r="UR56">
        <f t="shared" si="119"/>
        <v>14766.705627827159</v>
      </c>
      <c r="US56">
        <f t="shared" si="119"/>
        <v>14793.991755081464</v>
      </c>
      <c r="UT56">
        <f t="shared" si="119"/>
        <v>14821.281626824835</v>
      </c>
      <c r="UU56">
        <f t="shared" si="119"/>
        <v>14848.575250479867</v>
      </c>
      <c r="UV56">
        <f t="shared" si="119"/>
        <v>14875.872633472996</v>
      </c>
      <c r="UW56">
        <f t="shared" si="119"/>
        <v>14903.173783234581</v>
      </c>
      <c r="UX56">
        <f t="shared" si="120"/>
        <v>14930.478707198838</v>
      </c>
      <c r="UY56">
        <f t="shared" si="120"/>
        <v>14957.787412803873</v>
      </c>
      <c r="UZ56">
        <f t="shared" si="120"/>
        <v>14985.099907491718</v>
      </c>
      <c r="VA56">
        <f t="shared" si="120"/>
        <v>15012.416198708304</v>
      </c>
      <c r="VB56">
        <f t="shared" si="120"/>
        <v>15039.736293903492</v>
      </c>
      <c r="VC56">
        <f t="shared" si="120"/>
        <v>15067.060200531052</v>
      </c>
      <c r="VD56">
        <f t="shared" si="120"/>
        <v>15094.387926048716</v>
      </c>
      <c r="VE56">
        <f t="shared" si="120"/>
        <v>15121.719477918145</v>
      </c>
      <c r="VF56">
        <f t="shared" si="120"/>
        <v>15149.05486360497</v>
      </c>
      <c r="VG56">
        <f t="shared" si="120"/>
        <v>15176.394090578771</v>
      </c>
      <c r="VH56">
        <f t="shared" si="121"/>
        <v>15203.737166313105</v>
      </c>
      <c r="VI56">
        <f t="shared" si="121"/>
        <v>15231.084098285513</v>
      </c>
      <c r="VJ56">
        <f t="shared" si="121"/>
        <v>15258.43489397753</v>
      </c>
      <c r="VK56">
        <f t="shared" si="121"/>
        <v>15285.789560874666</v>
      </c>
      <c r="VL56">
        <f t="shared" si="121"/>
        <v>15313.148106466464</v>
      </c>
      <c r="VM56">
        <f t="shared" si="121"/>
        <v>15340.510538246464</v>
      </c>
      <c r="VN56">
        <f t="shared" si="121"/>
        <v>15367.876863712241</v>
      </c>
      <c r="VO56">
        <f t="shared" si="121"/>
        <v>15395.247090365394</v>
      </c>
      <c r="VP56">
        <f t="shared" si="121"/>
        <v>15422.62122571156</v>
      </c>
      <c r="VQ56">
        <f t="shared" si="121"/>
        <v>15449.999277260438</v>
      </c>
      <c r="VR56">
        <f t="shared" si="122"/>
        <v>15477.381252525769</v>
      </c>
      <c r="VS56">
        <f t="shared" si="122"/>
        <v>15504.767159025381</v>
      </c>
      <c r="VT56">
        <f t="shared" si="122"/>
        <v>15532.157004281151</v>
      </c>
      <c r="VU56">
        <f t="shared" si="122"/>
        <v>15559.550795819063</v>
      </c>
      <c r="VV56">
        <f t="shared" si="122"/>
        <v>15586.948541169178</v>
      </c>
      <c r="VW56">
        <f t="shared" si="122"/>
        <v>15614.350247865666</v>
      </c>
      <c r="VX56">
        <f t="shared" si="122"/>
        <v>15641.755923446806</v>
      </c>
      <c r="VY56">
        <f t="shared" si="122"/>
        <v>15669.165575454996</v>
      </c>
      <c r="VZ56">
        <f t="shared" si="122"/>
        <v>15696.579211436754</v>
      </c>
      <c r="WA56">
        <f t="shared" si="122"/>
        <v>15723.996838942752</v>
      </c>
      <c r="WB56">
        <f t="shared" si="123"/>
        <v>15751.418465527775</v>
      </c>
      <c r="WC56">
        <f t="shared" si="123"/>
        <v>15778.8440987508</v>
      </c>
      <c r="WD56">
        <f t="shared" si="123"/>
        <v>15806.273746174931</v>
      </c>
      <c r="WE56">
        <f t="shared" si="123"/>
        <v>15833.707415367473</v>
      </c>
      <c r="WF56">
        <f t="shared" si="123"/>
        <v>15861.145113899885</v>
      </c>
      <c r="WG56">
        <f t="shared" si="123"/>
        <v>15888.58684934783</v>
      </c>
      <c r="WH56">
        <f t="shared" si="123"/>
        <v>15916.032629291167</v>
      </c>
      <c r="WI56">
        <f t="shared" si="123"/>
        <v>15943.482461313955</v>
      </c>
      <c r="WJ56">
        <f t="shared" si="123"/>
        <v>15970.936353004474</v>
      </c>
      <c r="WK56">
        <f t="shared" si="123"/>
        <v>15998.394311955217</v>
      </c>
      <c r="WL56">
        <f t="shared" si="124"/>
        <v>16025.856345762921</v>
      </c>
      <c r="WM56">
        <f t="shared" si="124"/>
        <v>16053.322462028565</v>
      </c>
      <c r="WN56">
        <f t="shared" si="124"/>
        <v>16080.792668357364</v>
      </c>
    </row>
    <row r="57" spans="2:612" x14ac:dyDescent="0.25">
      <c r="B57">
        <v>10</v>
      </c>
      <c r="C57">
        <f>C56+0.8</f>
        <v>3.9375</v>
      </c>
      <c r="D57">
        <v>0.89</v>
      </c>
      <c r="J57">
        <f>(($C56+0.4)*TAN(RADIANS(J$47))*$D57*0.8*1000*9.8*$C57)+((0.8*TAN(RADIANS(J$47)))*0.8/2*$D57*1000*9.8)*($C57+0.8/6)</f>
        <v>37.891865770252707</v>
      </c>
      <c r="K57">
        <f t="shared" ref="K57:AP57" si="125">(($C56+0.4)*TAN(RADIANS(K$47))*$D57*0.8*1000*9.8*$C57)+((0.8*TAN(RADIANS(K$47)))*0.8/2*$D57*1000*9.8)*($C57+0.8/6)</f>
        <v>75.783740774525185</v>
      </c>
      <c r="L57">
        <f t="shared" si="125"/>
        <v>113.67563424684622</v>
      </c>
      <c r="M57">
        <f t="shared" si="125"/>
        <v>151.5675554212626</v>
      </c>
      <c r="N57">
        <f t="shared" si="125"/>
        <v>189.45951353184813</v>
      </c>
      <c r="O57">
        <f t="shared" si="125"/>
        <v>227.35151781271261</v>
      </c>
      <c r="P57">
        <f t="shared" si="125"/>
        <v>265.24357749801078</v>
      </c>
      <c r="Q57">
        <f t="shared" si="125"/>
        <v>303.1357018219515</v>
      </c>
      <c r="R57">
        <f t="shared" si="125"/>
        <v>341.02790001880646</v>
      </c>
      <c r="S57">
        <f t="shared" si="125"/>
        <v>378.92018132291969</v>
      </c>
      <c r="T57">
        <f t="shared" si="125"/>
        <v>416.81255496871597</v>
      </c>
      <c r="U57">
        <f t="shared" si="125"/>
        <v>454.70503019070998</v>
      </c>
      <c r="V57">
        <f t="shared" si="125"/>
        <v>492.59761622351601</v>
      </c>
      <c r="W57">
        <f t="shared" si="125"/>
        <v>530.49032230185526</v>
      </c>
      <c r="X57">
        <f t="shared" si="125"/>
        <v>568.38315766056712</v>
      </c>
      <c r="Y57">
        <f t="shared" si="125"/>
        <v>606.27613153461652</v>
      </c>
      <c r="Z57">
        <f t="shared" si="125"/>
        <v>644.16925315910339</v>
      </c>
      <c r="AA57">
        <f t="shared" si="125"/>
        <v>682.06253176927135</v>
      </c>
      <c r="AB57">
        <f t="shared" si="125"/>
        <v>719.95597660051806</v>
      </c>
      <c r="AC57">
        <f t="shared" si="125"/>
        <v>757.84959688840195</v>
      </c>
      <c r="AD57">
        <f t="shared" si="125"/>
        <v>795.74340186865345</v>
      </c>
      <c r="AE57">
        <f t="shared" si="125"/>
        <v>833.63740077718296</v>
      </c>
      <c r="AF57">
        <f t="shared" si="125"/>
        <v>871.53160285008914</v>
      </c>
      <c r="AG57">
        <f t="shared" si="125"/>
        <v>909.42601732366938</v>
      </c>
      <c r="AH57">
        <f t="shared" si="125"/>
        <v>947.32065343442832</v>
      </c>
      <c r="AI57">
        <f t="shared" si="125"/>
        <v>985.21552041908649</v>
      </c>
      <c r="AJ57">
        <f t="shared" si="125"/>
        <v>1023.1106275145884</v>
      </c>
      <c r="AK57">
        <f t="shared" si="125"/>
        <v>1061.0059839581147</v>
      </c>
      <c r="AL57">
        <f t="shared" si="125"/>
        <v>1098.901598987087</v>
      </c>
      <c r="AM57">
        <f t="shared" si="125"/>
        <v>1136.7974818391808</v>
      </c>
      <c r="AN57">
        <f t="shared" si="125"/>
        <v>1174.6936417523318</v>
      </c>
      <c r="AO57">
        <f t="shared" si="125"/>
        <v>1212.5900879647461</v>
      </c>
      <c r="AP57">
        <f t="shared" si="125"/>
        <v>1250.4868297149083</v>
      </c>
      <c r="AQ57">
        <f t="shared" ref="AQ57:BU57" si="126">(($C56+0.4)*TAN(RADIANS(AQ$47))*$D57*0.8*1000*9.8*$C57)+((0.8*TAN(RADIANS(AQ$47)))*0.8/2*$D57*1000*9.8)*($C57+0.8/6)</f>
        <v>1288.3838762415924</v>
      </c>
      <c r="AR57">
        <f t="shared" si="126"/>
        <v>1326.2812367838676</v>
      </c>
      <c r="AS57">
        <f t="shared" si="126"/>
        <v>1364.1789205811112</v>
      </c>
      <c r="AT57">
        <f t="shared" si="126"/>
        <v>1402.0769368730157</v>
      </c>
      <c r="AU57">
        <f t="shared" si="126"/>
        <v>1439.9752948995954</v>
      </c>
      <c r="AV57">
        <f t="shared" si="126"/>
        <v>1477.8740039012</v>
      </c>
      <c r="AW57">
        <f t="shared" si="126"/>
        <v>1515.7730731185213</v>
      </c>
      <c r="AX57">
        <f t="shared" si="126"/>
        <v>1553.672511792601</v>
      </c>
      <c r="AY57">
        <f t="shared" si="126"/>
        <v>1591.5723291648428</v>
      </c>
      <c r="AZ57">
        <f t="shared" si="126"/>
        <v>1629.4725344770179</v>
      </c>
      <c r="BA57">
        <f t="shared" si="126"/>
        <v>1667.3731369712773</v>
      </c>
      <c r="BB57">
        <f t="shared" si="126"/>
        <v>1705.2741458901578</v>
      </c>
      <c r="BC57">
        <f t="shared" si="126"/>
        <v>1743.1755704765942</v>
      </c>
      <c r="BD57">
        <f t="shared" si="126"/>
        <v>1781.0774199739244</v>
      </c>
      <c r="BE57">
        <f t="shared" si="126"/>
        <v>1818.979703625904</v>
      </c>
      <c r="BF57">
        <f t="shared" si="126"/>
        <v>1856.882430676709</v>
      </c>
      <c r="BG57">
        <f t="shared" si="126"/>
        <v>1894.7856103709478</v>
      </c>
      <c r="BH57">
        <f t="shared" si="126"/>
        <v>1932.6892519536725</v>
      </c>
      <c r="BI57">
        <f t="shared" si="126"/>
        <v>1970.5933646703841</v>
      </c>
      <c r="BJ57">
        <f t="shared" si="126"/>
        <v>2008.4979577670429</v>
      </c>
      <c r="BK57">
        <f t="shared" si="126"/>
        <v>2046.4030404900782</v>
      </c>
      <c r="BL57">
        <f t="shared" si="126"/>
        <v>2084.308622086397</v>
      </c>
      <c r="BM57">
        <f t="shared" si="126"/>
        <v>2122.2147118033927</v>
      </c>
      <c r="BN57">
        <f t="shared" si="126"/>
        <v>2160.1213188889528</v>
      </c>
      <c r="BO57">
        <f t="shared" si="126"/>
        <v>2198.0284525914726</v>
      </c>
      <c r="BP57">
        <f t="shared" si="126"/>
        <v>2235.9361221598583</v>
      </c>
      <c r="BQ57">
        <f t="shared" si="126"/>
        <v>2273.8443368435392</v>
      </c>
      <c r="BR57">
        <f t="shared" si="126"/>
        <v>2311.7531058924778</v>
      </c>
      <c r="BS57">
        <f t="shared" si="126"/>
        <v>2349.6624385571758</v>
      </c>
      <c r="BT57">
        <f t="shared" si="126"/>
        <v>2387.5723440886845</v>
      </c>
      <c r="BU57">
        <f t="shared" si="126"/>
        <v>2425.4828317386168</v>
      </c>
      <c r="BV57">
        <f>(($C56+0.4)*TAN(RADIANS(BV$47))*$D57*0.8*1000*9.8*$C57)+((0.8*TAN(RADIANS(BV$47)))*0.8/2*$D57*1000*9.8)*($C57+0.8/6)</f>
        <v>2463.3939107591491</v>
      </c>
      <c r="BW57">
        <f t="shared" ref="BW57:DB57" si="127">(($C56+0.4)*TAN(RADIANS(BW$47))*$D57*0.8*1000*9.8*$C57)+((0.8*TAN(RADIANS(BW$47)))*0.8/2*$D57*1000*9.8)*($C57+0.8/6)</f>
        <v>2501.3055904030371</v>
      </c>
      <c r="BX57">
        <f t="shared" si="127"/>
        <v>2539.217879923624</v>
      </c>
      <c r="BY57">
        <f t="shared" si="127"/>
        <v>2577.1307885748452</v>
      </c>
      <c r="BZ57">
        <f t="shared" si="127"/>
        <v>2615.0443256112403</v>
      </c>
      <c r="CA57">
        <f t="shared" si="127"/>
        <v>2652.9585002879635</v>
      </c>
      <c r="CB57">
        <f t="shared" si="127"/>
        <v>2690.8733218607899</v>
      </c>
      <c r="CC57">
        <f t="shared" si="127"/>
        <v>2728.7887995861279</v>
      </c>
      <c r="CD57">
        <f t="shared" si="127"/>
        <v>2766.7049427210213</v>
      </c>
      <c r="CE57">
        <f t="shared" si="127"/>
        <v>2804.62176052317</v>
      </c>
      <c r="CF57">
        <f t="shared" si="127"/>
        <v>2842.5392622509262</v>
      </c>
      <c r="CG57">
        <f t="shared" si="127"/>
        <v>2880.4574571633116</v>
      </c>
      <c r="CH57">
        <f t="shared" si="127"/>
        <v>2918.3763545200245</v>
      </c>
      <c r="CI57">
        <f t="shared" si="127"/>
        <v>2956.2959635814491</v>
      </c>
      <c r="CJ57">
        <f t="shared" si="127"/>
        <v>2994.2162936086634</v>
      </c>
      <c r="CK57">
        <f t="shared" si="127"/>
        <v>3032.1373538634484</v>
      </c>
      <c r="CL57">
        <f t="shared" si="127"/>
        <v>3070.0591536082998</v>
      </c>
      <c r="CM57">
        <f t="shared" si="127"/>
        <v>3107.9817021064314</v>
      </c>
      <c r="CN57">
        <f t="shared" si="127"/>
        <v>3145.9050086217921</v>
      </c>
      <c r="CO57">
        <f t="shared" si="127"/>
        <v>3183.8290824190676</v>
      </c>
      <c r="CP57">
        <f t="shared" si="127"/>
        <v>3221.7539327636941</v>
      </c>
      <c r="CQ57">
        <f t="shared" si="127"/>
        <v>3259.6795689218625</v>
      </c>
      <c r="CR57">
        <f t="shared" si="127"/>
        <v>3297.6060001605356</v>
      </c>
      <c r="CS57">
        <f t="shared" si="127"/>
        <v>3335.533235747449</v>
      </c>
      <c r="CT57">
        <f t="shared" si="127"/>
        <v>3373.4612849511245</v>
      </c>
      <c r="CU57">
        <f t="shared" si="127"/>
        <v>3411.390157040878</v>
      </c>
      <c r="CV57">
        <f t="shared" si="127"/>
        <v>3449.3198612868268</v>
      </c>
      <c r="CW57">
        <f t="shared" si="127"/>
        <v>3487.2504069599058</v>
      </c>
      <c r="CX57">
        <f t="shared" si="127"/>
        <v>3525.1818033318636</v>
      </c>
      <c r="CY57">
        <f t="shared" si="127"/>
        <v>3563.1140596752871</v>
      </c>
      <c r="CZ57">
        <f t="shared" si="127"/>
        <v>3601.0471852635978</v>
      </c>
      <c r="DA57">
        <f t="shared" si="127"/>
        <v>3638.9811893710671</v>
      </c>
      <c r="DB57">
        <f t="shared" si="127"/>
        <v>3676.916081272826</v>
      </c>
      <c r="DC57">
        <f t="shared" ref="DC57:EG57" si="128">(($C56+0.4)*TAN(RADIANS(DC$47))*$D57*0.8*1000*9.8*$C57)+((0.8*TAN(RADIANS(DC$47)))*0.8/2*$D57*1000*9.8)*($C57+0.8/6)</f>
        <v>3714.8518702448696</v>
      </c>
      <c r="DD57">
        <f t="shared" si="128"/>
        <v>3752.7885655640712</v>
      </c>
      <c r="DE57">
        <f t="shared" si="128"/>
        <v>3790.7261765081867</v>
      </c>
      <c r="DF57">
        <f t="shared" si="128"/>
        <v>3828.6647123558696</v>
      </c>
      <c r="DG57">
        <f t="shared" si="128"/>
        <v>3866.6041823866703</v>
      </c>
      <c r="DH57">
        <f t="shared" si="128"/>
        <v>3904.5445958810619</v>
      </c>
      <c r="DI57">
        <f t="shared" si="128"/>
        <v>3942.4859621204278</v>
      </c>
      <c r="DJ57">
        <f t="shared" si="128"/>
        <v>3980.4282903870903</v>
      </c>
      <c r="DK57">
        <f t="shared" si="128"/>
        <v>4018.3715899643057</v>
      </c>
      <c r="DL57">
        <f t="shared" si="128"/>
        <v>4056.3158701362804</v>
      </c>
      <c r="DM57">
        <f t="shared" si="128"/>
        <v>4094.2611401881832</v>
      </c>
      <c r="DN57">
        <f t="shared" si="128"/>
        <v>4132.2074094061436</v>
      </c>
      <c r="DO57">
        <f t="shared" si="128"/>
        <v>4170.15468707727</v>
      </c>
      <c r="DP57">
        <f t="shared" si="128"/>
        <v>4208.102982489655</v>
      </c>
      <c r="DQ57">
        <f t="shared" si="128"/>
        <v>4246.0523049323874</v>
      </c>
      <c r="DR57">
        <f t="shared" si="128"/>
        <v>4284.0026636955563</v>
      </c>
      <c r="DS57">
        <f t="shared" si="128"/>
        <v>4321.9540680702648</v>
      </c>
      <c r="DT57">
        <f t="shared" si="128"/>
        <v>4359.906527348644</v>
      </c>
      <c r="DU57">
        <f t="shared" si="128"/>
        <v>4397.8600508238424</v>
      </c>
      <c r="DV57">
        <f t="shared" si="128"/>
        <v>4435.8146477900573</v>
      </c>
      <c r="DW57">
        <f t="shared" si="128"/>
        <v>4473.7703275425347</v>
      </c>
      <c r="DX57">
        <f t="shared" si="128"/>
        <v>4511.7270993775765</v>
      </c>
      <c r="DY57">
        <f t="shared" si="128"/>
        <v>4549.6849725925531</v>
      </c>
      <c r="DZ57">
        <f t="shared" si="128"/>
        <v>4587.6439564859102</v>
      </c>
      <c r="EA57">
        <f t="shared" si="128"/>
        <v>4625.6040603571801</v>
      </c>
      <c r="EB57">
        <f t="shared" si="128"/>
        <v>4663.5652935069884</v>
      </c>
      <c r="EC57">
        <f t="shared" si="128"/>
        <v>4701.5276652370667</v>
      </c>
      <c r="ED57">
        <f t="shared" si="128"/>
        <v>4739.4911848502561</v>
      </c>
      <c r="EE57">
        <f t="shared" si="128"/>
        <v>4777.4558616505255</v>
      </c>
      <c r="EF57">
        <f t="shared" si="128"/>
        <v>4815.421704942969</v>
      </c>
      <c r="EG57">
        <f t="shared" si="128"/>
        <v>4853.3887240338245</v>
      </c>
      <c r="EH57">
        <f>(($C56+0.4)*TAN(RADIANS(EH$47))*$D57*0.8*1000*9.8*$C57)+((0.8*TAN(RADIANS(EH$47)))*0.8/2*$D57*1000*9.8)*($C57+0.8/6)</f>
        <v>4891.3569282304743</v>
      </c>
      <c r="EI57">
        <f t="shared" ref="EI57:FN57" si="129">(($C56+0.4)*TAN(RADIANS(EI$47))*$D57*0.8*1000*9.8*$C57)+((0.8*TAN(RADIANS(EI$47)))*0.8/2*$D57*1000*9.8)*($C57+0.8/6)</f>
        <v>4929.3263268414685</v>
      </c>
      <c r="EJ57">
        <f t="shared" si="129"/>
        <v>4967.2969291765194</v>
      </c>
      <c r="EK57">
        <f t="shared" si="129"/>
        <v>5005.2687445465153</v>
      </c>
      <c r="EL57">
        <f t="shared" si="129"/>
        <v>5043.2417822635334</v>
      </c>
      <c r="EM57">
        <f t="shared" si="129"/>
        <v>5081.2160516408439</v>
      </c>
      <c r="EN57">
        <f t="shared" si="129"/>
        <v>5119.1915619929214</v>
      </c>
      <c r="EO57">
        <f t="shared" si="129"/>
        <v>5157.1683226354598</v>
      </c>
      <c r="EP57">
        <f t="shared" si="129"/>
        <v>5195.1463428853676</v>
      </c>
      <c r="EQ57">
        <f t="shared" si="129"/>
        <v>5233.1256320607899</v>
      </c>
      <c r="ER57">
        <f t="shared" si="129"/>
        <v>5271.1061994811143</v>
      </c>
      <c r="ES57">
        <f t="shared" si="129"/>
        <v>5309.0880544669744</v>
      </c>
      <c r="ET57">
        <f t="shared" si="129"/>
        <v>5347.0712063402661</v>
      </c>
      <c r="EU57">
        <f t="shared" si="129"/>
        <v>5385.0556644241515</v>
      </c>
      <c r="EV57">
        <f t="shared" si="129"/>
        <v>5423.0414380430766</v>
      </c>
      <c r="EW57">
        <f t="shared" si="129"/>
        <v>5461.0285365227683</v>
      </c>
      <c r="EX57">
        <f t="shared" si="129"/>
        <v>5499.0169691902538</v>
      </c>
      <c r="EY57">
        <f t="shared" si="129"/>
        <v>5537.0067453738584</v>
      </c>
      <c r="EZ57">
        <f t="shared" si="129"/>
        <v>5574.9978744032333</v>
      </c>
      <c r="FA57">
        <f t="shared" si="129"/>
        <v>5612.9903656093456</v>
      </c>
      <c r="FB57">
        <f t="shared" si="129"/>
        <v>5650.984228324498</v>
      </c>
      <c r="FC57">
        <f t="shared" si="129"/>
        <v>5688.979471882335</v>
      </c>
      <c r="FD57">
        <f t="shared" si="129"/>
        <v>5726.976105617854</v>
      </c>
      <c r="FE57">
        <f t="shared" si="129"/>
        <v>5764.9741388674083</v>
      </c>
      <c r="FF57">
        <f t="shared" si="129"/>
        <v>5802.9735809687281</v>
      </c>
      <c r="FG57">
        <f t="shared" si="129"/>
        <v>5840.9744412609189</v>
      </c>
      <c r="FH57">
        <f t="shared" si="129"/>
        <v>5878.976729084472</v>
      </c>
      <c r="FI57">
        <f t="shared" si="129"/>
        <v>5916.9804537812852</v>
      </c>
      <c r="FJ57">
        <f t="shared" si="129"/>
        <v>5954.9856246946492</v>
      </c>
      <c r="FK57">
        <f t="shared" si="129"/>
        <v>5992.9922511692857</v>
      </c>
      <c r="FL57">
        <f t="shared" si="129"/>
        <v>6031.0003425513314</v>
      </c>
      <c r="FM57">
        <f t="shared" si="129"/>
        <v>6069.00990818836</v>
      </c>
      <c r="FN57">
        <f t="shared" si="129"/>
        <v>6107.0209574293904</v>
      </c>
      <c r="FO57">
        <f t="shared" ref="FO57:GS57" si="130">(($C56+0.4)*TAN(RADIANS(FO$47))*$D57*0.8*1000*9.8*$C57)+((0.8*TAN(RADIANS(FO$47)))*0.8/2*$D57*1000*9.8)*($C57+0.8/6)</f>
        <v>6145.0334996248939</v>
      </c>
      <c r="FP57">
        <f t="shared" si="130"/>
        <v>6183.0475441268027</v>
      </c>
      <c r="FQ57">
        <f t="shared" si="130"/>
        <v>6221.0631002885239</v>
      </c>
      <c r="FR57">
        <f t="shared" si="130"/>
        <v>6259.0801774649408</v>
      </c>
      <c r="FS57">
        <f t="shared" si="130"/>
        <v>6297.0987850124284</v>
      </c>
      <c r="FT57">
        <f t="shared" si="130"/>
        <v>6335.1189322888631</v>
      </c>
      <c r="FU57">
        <f t="shared" si="130"/>
        <v>6373.1406286536258</v>
      </c>
      <c r="FV57">
        <f t="shared" si="130"/>
        <v>6411.1638834676196</v>
      </c>
      <c r="FW57">
        <f t="shared" si="130"/>
        <v>6449.1887060932695</v>
      </c>
      <c r="FX57">
        <f t="shared" si="130"/>
        <v>6487.2151058945419</v>
      </c>
      <c r="FY57">
        <f t="shared" si="130"/>
        <v>6525.2430922369467</v>
      </c>
      <c r="FZ57">
        <f t="shared" si="130"/>
        <v>6563.2726744875445</v>
      </c>
      <c r="GA57">
        <f t="shared" si="130"/>
        <v>6601.3038620149691</v>
      </c>
      <c r="GB57">
        <f t="shared" si="130"/>
        <v>6639.3366641894172</v>
      </c>
      <c r="GC57">
        <f t="shared" si="130"/>
        <v>6677.3710903826759</v>
      </c>
      <c r="GD57">
        <f t="shared" si="130"/>
        <v>6715.4071499681231</v>
      </c>
      <c r="GE57">
        <f t="shared" si="130"/>
        <v>6753.4448523207311</v>
      </c>
      <c r="GF57">
        <f t="shared" si="130"/>
        <v>6791.4842068170919</v>
      </c>
      <c r="GG57">
        <f t="shared" si="130"/>
        <v>6829.5252228354148</v>
      </c>
      <c r="GH57">
        <f t="shared" si="130"/>
        <v>6867.567909755533</v>
      </c>
      <c r="GI57">
        <f t="shared" si="130"/>
        <v>6905.6122769589265</v>
      </c>
      <c r="GJ57">
        <f t="shared" si="130"/>
        <v>6943.6583338287146</v>
      </c>
      <c r="GK57">
        <f t="shared" si="130"/>
        <v>6981.7060897496776</v>
      </c>
      <c r="GL57">
        <f t="shared" si="130"/>
        <v>7019.7555541082656</v>
      </c>
      <c r="GM57">
        <f t="shared" si="130"/>
        <v>7057.8067362925985</v>
      </c>
      <c r="GN57">
        <f t="shared" si="130"/>
        <v>7095.8596456924834</v>
      </c>
      <c r="GO57">
        <f t="shared" si="130"/>
        <v>7133.9142916994233</v>
      </c>
      <c r="GP57">
        <f t="shared" si="130"/>
        <v>7171.9706837066196</v>
      </c>
      <c r="GQ57">
        <f t="shared" si="130"/>
        <v>7210.0288311089971</v>
      </c>
      <c r="GR57">
        <f t="shared" si="130"/>
        <v>7248.088743303193</v>
      </c>
      <c r="GS57">
        <f t="shared" si="130"/>
        <v>7286.1504296875746</v>
      </c>
      <c r="GT57">
        <f>(($C56+0.4)*TAN(RADIANS(GT$47))*$D57*0.8*1000*9.8*$C57)+((0.8*TAN(RADIANS(GT$47)))*0.8/2*$D57*1000*9.8)*($C57+0.8/6)</f>
        <v>7324.2138996622652</v>
      </c>
      <c r="GU57">
        <f t="shared" si="83"/>
        <v>7362.27916262912</v>
      </c>
      <c r="GV57">
        <f t="shared" si="83"/>
        <v>7400.3462279917676</v>
      </c>
      <c r="GW57">
        <f t="shared" si="83"/>
        <v>7438.4151051555982</v>
      </c>
      <c r="GX57">
        <f t="shared" si="83"/>
        <v>7476.485803527783</v>
      </c>
      <c r="GY57">
        <f t="shared" si="83"/>
        <v>7514.5583325172793</v>
      </c>
      <c r="GZ57">
        <f t="shared" si="83"/>
        <v>7552.6327015348434</v>
      </c>
      <c r="HA57">
        <f t="shared" si="83"/>
        <v>7590.7089199930379</v>
      </c>
      <c r="HB57">
        <f t="shared" si="84"/>
        <v>7628.7869973062416</v>
      </c>
      <c r="HC57">
        <f t="shared" si="84"/>
        <v>7666.866942890656</v>
      </c>
      <c r="HD57">
        <f t="shared" si="84"/>
        <v>7704.9487661643216</v>
      </c>
      <c r="HE57">
        <f t="shared" si="84"/>
        <v>7743.0324765471178</v>
      </c>
      <c r="HF57">
        <f t="shared" si="84"/>
        <v>7781.1180834607794</v>
      </c>
      <c r="HG57">
        <f t="shared" si="84"/>
        <v>7819.2055963289104</v>
      </c>
      <c r="HH57">
        <f t="shared" si="84"/>
        <v>7857.2950245769744</v>
      </c>
      <c r="HI57">
        <f t="shared" si="84"/>
        <v>7895.3863776323278</v>
      </c>
      <c r="HJ57">
        <f t="shared" si="84"/>
        <v>7933.4796649242089</v>
      </c>
      <c r="HK57">
        <f t="shared" si="84"/>
        <v>7971.5748958837676</v>
      </c>
      <c r="HL57">
        <f t="shared" si="85"/>
        <v>8009.67207994405</v>
      </c>
      <c r="HM57">
        <f t="shared" si="85"/>
        <v>8047.7712265400369</v>
      </c>
      <c r="HN57">
        <f t="shared" si="85"/>
        <v>8085.8723451086216</v>
      </c>
      <c r="HO57">
        <f t="shared" si="85"/>
        <v>8123.9754450886467</v>
      </c>
      <c r="HP57">
        <f t="shared" si="85"/>
        <v>8162.0805359208971</v>
      </c>
      <c r="HQ57">
        <f t="shared" si="85"/>
        <v>8200.1876270481207</v>
      </c>
      <c r="HR57">
        <f t="shared" si="85"/>
        <v>8238.2967279150234</v>
      </c>
      <c r="HS57">
        <f t="shared" si="85"/>
        <v>8276.4078479682958</v>
      </c>
      <c r="HT57">
        <f t="shared" si="85"/>
        <v>8314.5209966566017</v>
      </c>
      <c r="HU57">
        <f t="shared" si="85"/>
        <v>8352.6361834306135</v>
      </c>
      <c r="HV57">
        <f t="shared" si="86"/>
        <v>8390.753417742997</v>
      </c>
      <c r="HW57">
        <f t="shared" si="86"/>
        <v>8428.872709048439</v>
      </c>
      <c r="HX57">
        <f t="shared" si="86"/>
        <v>8466.9940668036397</v>
      </c>
      <c r="HY57">
        <f t="shared" si="86"/>
        <v>8505.1175004673478</v>
      </c>
      <c r="HZ57">
        <f t="shared" si="86"/>
        <v>8543.2430195003381</v>
      </c>
      <c r="IA57">
        <f t="shared" si="86"/>
        <v>8581.3706333654445</v>
      </c>
      <c r="IB57">
        <f t="shared" si="86"/>
        <v>8619.5003515275639</v>
      </c>
      <c r="IC57">
        <f t="shared" si="86"/>
        <v>8657.6321834536539</v>
      </c>
      <c r="ID57">
        <f t="shared" si="86"/>
        <v>8695.7661386127638</v>
      </c>
      <c r="IE57">
        <f t="shared" si="86"/>
        <v>8733.9022264760297</v>
      </c>
      <c r="IF57">
        <f t="shared" si="87"/>
        <v>8772.0404565166755</v>
      </c>
      <c r="IG57">
        <f t="shared" si="87"/>
        <v>8810.1808382100462</v>
      </c>
      <c r="IH57">
        <f t="shared" si="87"/>
        <v>8848.3233810336023</v>
      </c>
      <c r="II57">
        <f t="shared" si="87"/>
        <v>8886.468094466929</v>
      </c>
      <c r="IJ57">
        <f t="shared" si="87"/>
        <v>8924.6149879917484</v>
      </c>
      <c r="IK57">
        <f t="shared" si="87"/>
        <v>8962.7640710919277</v>
      </c>
      <c r="IL57">
        <f t="shared" si="87"/>
        <v>9000.9153532535001</v>
      </c>
      <c r="IM57">
        <f t="shared" si="87"/>
        <v>9039.0688439646456</v>
      </c>
      <c r="IN57">
        <f t="shared" si="87"/>
        <v>9077.2245527157429</v>
      </c>
      <c r="IO57">
        <f t="shared" si="87"/>
        <v>9115.3824889993321</v>
      </c>
      <c r="IP57">
        <f t="shared" si="88"/>
        <v>9153.5426623101648</v>
      </c>
      <c r="IQ57">
        <f t="shared" si="88"/>
        <v>9191.7050821451867</v>
      </c>
      <c r="IR57">
        <f t="shared" si="88"/>
        <v>9229.8697580035587</v>
      </c>
      <c r="IS57">
        <f t="shared" si="88"/>
        <v>9268.0366993866683</v>
      </c>
      <c r="IT57">
        <f t="shared" si="88"/>
        <v>9306.2059157981275</v>
      </c>
      <c r="IU57">
        <f t="shared" si="88"/>
        <v>9344.3774167437987</v>
      </c>
      <c r="IV57">
        <f t="shared" si="88"/>
        <v>9382.5512117317903</v>
      </c>
      <c r="IW57">
        <f t="shared" si="88"/>
        <v>9420.7273102724757</v>
      </c>
      <c r="IX57">
        <f t="shared" si="88"/>
        <v>9458.9057218784983</v>
      </c>
      <c r="IY57">
        <f t="shared" si="88"/>
        <v>9497.0864560647697</v>
      </c>
      <c r="IZ57">
        <f t="shared" si="89"/>
        <v>9535.2695223485134</v>
      </c>
      <c r="JA57">
        <f t="shared" si="89"/>
        <v>9573.4549302492323</v>
      </c>
      <c r="JB57">
        <f t="shared" si="89"/>
        <v>9611.6426892887539</v>
      </c>
      <c r="JC57">
        <f t="shared" si="89"/>
        <v>9649.8328089912156</v>
      </c>
      <c r="JD57">
        <f t="shared" si="89"/>
        <v>9688.025298883078</v>
      </c>
      <c r="JE57">
        <f t="shared" si="89"/>
        <v>9726.2201684931551</v>
      </c>
      <c r="JF57">
        <f t="shared" si="89"/>
        <v>9764.4174273525841</v>
      </c>
      <c r="JG57">
        <f t="shared" si="89"/>
        <v>9802.6170849948921</v>
      </c>
      <c r="JH57">
        <f t="shared" si="89"/>
        <v>9840.819150955942</v>
      </c>
      <c r="JI57">
        <f t="shared" si="89"/>
        <v>9879.0236347739938</v>
      </c>
      <c r="JJ57">
        <f t="shared" si="90"/>
        <v>9917.2305459896779</v>
      </c>
      <c r="JK57">
        <f t="shared" si="90"/>
        <v>9955.4398941460331</v>
      </c>
      <c r="JL57">
        <f t="shared" si="90"/>
        <v>9993.6516887884991</v>
      </c>
      <c r="JM57">
        <f t="shared" si="90"/>
        <v>10031.865939464924</v>
      </c>
      <c r="JN57">
        <f t="shared" si="90"/>
        <v>10070.082655725591</v>
      </c>
      <c r="JO57">
        <f t="shared" si="90"/>
        <v>10108.301847123206</v>
      </c>
      <c r="JP57">
        <f t="shared" si="90"/>
        <v>10146.523523212933</v>
      </c>
      <c r="JQ57">
        <f t="shared" si="90"/>
        <v>10184.747693552381</v>
      </c>
      <c r="JR57">
        <f t="shared" si="90"/>
        <v>10222.974367701614</v>
      </c>
      <c r="JS57">
        <f t="shared" si="90"/>
        <v>10261.20355522319</v>
      </c>
      <c r="JT57">
        <f t="shared" si="91"/>
        <v>10299.435265682125</v>
      </c>
      <c r="JU57">
        <f t="shared" si="91"/>
        <v>10337.669508645949</v>
      </c>
      <c r="JV57">
        <f t="shared" si="91"/>
        <v>10375.906293684679</v>
      </c>
      <c r="JW57">
        <f t="shared" si="91"/>
        <v>10414.145630370855</v>
      </c>
      <c r="JX57">
        <f t="shared" si="91"/>
        <v>10452.387528279522</v>
      </c>
      <c r="JY57">
        <f t="shared" si="91"/>
        <v>10490.631996988282</v>
      </c>
      <c r="JZ57">
        <f t="shared" si="91"/>
        <v>10528.879046077251</v>
      </c>
      <c r="KA57">
        <f t="shared" si="91"/>
        <v>10567.128685129108</v>
      </c>
      <c r="KB57">
        <f t="shared" si="91"/>
        <v>10605.380923729093</v>
      </c>
      <c r="KC57">
        <f t="shared" si="91"/>
        <v>10643.635771465015</v>
      </c>
      <c r="KD57">
        <f t="shared" si="92"/>
        <v>10681.893237927263</v>
      </c>
      <c r="KE57">
        <f t="shared" si="92"/>
        <v>10720.153332708811</v>
      </c>
      <c r="KF57">
        <f t="shared" si="92"/>
        <v>10758.416065405241</v>
      </c>
      <c r="KG57">
        <f t="shared" si="92"/>
        <v>10796.681445614733</v>
      </c>
      <c r="KH57">
        <f t="shared" si="92"/>
        <v>10834.949482938093</v>
      </c>
      <c r="KI57">
        <f t="shared" si="92"/>
        <v>10873.220186978755</v>
      </c>
      <c r="KJ57">
        <f t="shared" si="92"/>
        <v>10911.493567342794</v>
      </c>
      <c r="KK57">
        <f t="shared" si="92"/>
        <v>10949.769633638916</v>
      </c>
      <c r="KL57">
        <f t="shared" si="92"/>
        <v>10988.048395478516</v>
      </c>
      <c r="KM57">
        <f t="shared" si="92"/>
        <v>11026.329862475628</v>
      </c>
      <c r="KN57">
        <f t="shared" si="93"/>
        <v>11064.614044246975</v>
      </c>
      <c r="KO57">
        <f t="shared" si="93"/>
        <v>11102.900950411968</v>
      </c>
      <c r="KP57">
        <f t="shared" si="93"/>
        <v>11141.190590592718</v>
      </c>
      <c r="KQ57">
        <f t="shared" si="93"/>
        <v>11179.48297441403</v>
      </c>
      <c r="KR57">
        <f t="shared" si="93"/>
        <v>11217.77811150344</v>
      </c>
      <c r="KS57">
        <f t="shared" si="93"/>
        <v>11256.076011491205</v>
      </c>
      <c r="KT57">
        <f t="shared" si="93"/>
        <v>11294.376684010313</v>
      </c>
      <c r="KU57">
        <f t="shared" si="93"/>
        <v>11332.680138696509</v>
      </c>
      <c r="KV57">
        <f t="shared" si="93"/>
        <v>11370.986385188286</v>
      </c>
      <c r="KW57">
        <f t="shared" si="93"/>
        <v>11409.295433126907</v>
      </c>
      <c r="KX57">
        <f t="shared" si="94"/>
        <v>11447.607292156401</v>
      </c>
      <c r="KY57">
        <f t="shared" si="94"/>
        <v>11485.921971923601</v>
      </c>
      <c r="KZ57">
        <f t="shared" si="94"/>
        <v>11524.239482078117</v>
      </c>
      <c r="LA57">
        <f t="shared" si="94"/>
        <v>11562.559832272378</v>
      </c>
      <c r="LB57">
        <f t="shared" si="94"/>
        <v>11600.883032161619</v>
      </c>
      <c r="LC57">
        <f t="shared" si="94"/>
        <v>11639.209091403902</v>
      </c>
      <c r="LD57">
        <f t="shared" si="94"/>
        <v>11677.538019660133</v>
      </c>
      <c r="LE57">
        <f t="shared" si="94"/>
        <v>11715.869826594047</v>
      </c>
      <c r="LF57">
        <f t="shared" si="94"/>
        <v>11754.204521872245</v>
      </c>
      <c r="LG57">
        <f t="shared" si="94"/>
        <v>11792.542115164195</v>
      </c>
      <c r="LH57">
        <f t="shared" si="95"/>
        <v>11830.882616142224</v>
      </c>
      <c r="LI57">
        <f t="shared" si="95"/>
        <v>11869.226034481566</v>
      </c>
      <c r="LJ57">
        <f t="shared" si="95"/>
        <v>11907.572379860329</v>
      </c>
      <c r="LK57">
        <f t="shared" si="95"/>
        <v>11945.921661959535</v>
      </c>
      <c r="LL57">
        <f t="shared" si="95"/>
        <v>11984.273890463117</v>
      </c>
      <c r="LM57">
        <f t="shared" si="95"/>
        <v>12022.629075057943</v>
      </c>
      <c r="LN57">
        <f t="shared" si="95"/>
        <v>12060.987225433797</v>
      </c>
      <c r="LO57">
        <f t="shared" si="95"/>
        <v>12099.348351283425</v>
      </c>
      <c r="LP57">
        <f t="shared" si="95"/>
        <v>12137.712462302512</v>
      </c>
      <c r="LQ57">
        <f t="shared" si="95"/>
        <v>12176.079568189716</v>
      </c>
      <c r="LR57">
        <f t="shared" si="96"/>
        <v>12214.44967864667</v>
      </c>
      <c r="LS57">
        <f t="shared" si="96"/>
        <v>12252.822803377985</v>
      </c>
      <c r="LT57">
        <f t="shared" si="96"/>
        <v>12291.198952091265</v>
      </c>
      <c r="LU57">
        <f t="shared" si="96"/>
        <v>12329.578134497136</v>
      </c>
      <c r="LV57">
        <f t="shared" si="96"/>
        <v>12367.960360309209</v>
      </c>
      <c r="LW57">
        <f t="shared" si="96"/>
        <v>12406.345639244142</v>
      </c>
      <c r="LX57">
        <f t="shared" si="96"/>
        <v>12444.73398102162</v>
      </c>
      <c r="LY57">
        <f t="shared" si="96"/>
        <v>12483.125395364365</v>
      </c>
      <c r="LZ57">
        <f t="shared" si="96"/>
        <v>12521.519891998165</v>
      </c>
      <c r="MA57">
        <f t="shared" si="96"/>
        <v>12559.917480651864</v>
      </c>
      <c r="MB57">
        <f t="shared" si="97"/>
        <v>12598.318171057388</v>
      </c>
      <c r="MC57">
        <f t="shared" si="97"/>
        <v>12636.721972949737</v>
      </c>
      <c r="MD57">
        <f t="shared" si="97"/>
        <v>12675.128896067012</v>
      </c>
      <c r="ME57">
        <f t="shared" si="97"/>
        <v>12713.538950150416</v>
      </c>
      <c r="MF57">
        <f t="shared" si="97"/>
        <v>12751.952144944267</v>
      </c>
      <c r="MG57">
        <f t="shared" si="97"/>
        <v>12790.36849019601</v>
      </c>
      <c r="MH57">
        <f t="shared" si="97"/>
        <v>12828.787995656216</v>
      </c>
      <c r="MI57">
        <f t="shared" si="97"/>
        <v>12867.210671078616</v>
      </c>
      <c r="MJ57">
        <f t="shared" si="97"/>
        <v>12905.636526220082</v>
      </c>
      <c r="MK57">
        <f t="shared" si="97"/>
        <v>12944.065570840648</v>
      </c>
      <c r="ML57">
        <f t="shared" si="98"/>
        <v>12982.497814703542</v>
      </c>
      <c r="MM57">
        <f t="shared" si="98"/>
        <v>13020.933267575158</v>
      </c>
      <c r="MN57">
        <f t="shared" si="98"/>
        <v>13059.371939225097</v>
      </c>
      <c r="MO57">
        <f t="shared" si="98"/>
        <v>13097.813839426157</v>
      </c>
      <c r="MP57">
        <f t="shared" si="98"/>
        <v>13136.25897795436</v>
      </c>
      <c r="MQ57">
        <f t="shared" si="98"/>
        <v>13174.707364588941</v>
      </c>
      <c r="MR57">
        <f t="shared" si="98"/>
        <v>13213.159009112391</v>
      </c>
      <c r="MS57">
        <f t="shared" si="98"/>
        <v>13251.613921310422</v>
      </c>
      <c r="MT57">
        <f t="shared" si="98"/>
        <v>13290.072110972022</v>
      </c>
      <c r="MU57">
        <f t="shared" si="98"/>
        <v>13328.533587889429</v>
      </c>
      <c r="MV57">
        <f t="shared" si="99"/>
        <v>13366.998361858179</v>
      </c>
      <c r="MW57">
        <f t="shared" si="99"/>
        <v>13405.466442677074</v>
      </c>
      <c r="MX57">
        <f t="shared" si="99"/>
        <v>13443.937840148217</v>
      </c>
      <c r="MY57">
        <f t="shared" si="99"/>
        <v>13482.412564077031</v>
      </c>
      <c r="MZ57">
        <f t="shared" si="99"/>
        <v>13520.890624272241</v>
      </c>
      <c r="NA57">
        <f t="shared" si="99"/>
        <v>13559.372030545901</v>
      </c>
      <c r="NB57">
        <f t="shared" si="99"/>
        <v>13597.856792713414</v>
      </c>
      <c r="NC57">
        <f t="shared" si="99"/>
        <v>13636.344920593521</v>
      </c>
      <c r="ND57">
        <f t="shared" si="99"/>
        <v>13674.836424008321</v>
      </c>
      <c r="NE57">
        <f t="shared" si="99"/>
        <v>13713.331312783284</v>
      </c>
      <c r="NF57">
        <f t="shared" si="100"/>
        <v>13751.82959674726</v>
      </c>
      <c r="NG57">
        <f t="shared" si="100"/>
        <v>13790.331285732487</v>
      </c>
      <c r="NH57">
        <f t="shared" si="100"/>
        <v>13828.836389574593</v>
      </c>
      <c r="NI57">
        <f t="shared" si="100"/>
        <v>13867.344918112638</v>
      </c>
      <c r="NJ57">
        <f t="shared" si="100"/>
        <v>13905.856881189069</v>
      </c>
      <c r="NK57">
        <f t="shared" si="100"/>
        <v>13944.372288649794</v>
      </c>
      <c r="NL57">
        <f t="shared" si="100"/>
        <v>13982.89115034414</v>
      </c>
      <c r="NM57">
        <f t="shared" si="100"/>
        <v>14021.413476124899</v>
      </c>
      <c r="NN57">
        <f t="shared" si="100"/>
        <v>14059.939275848312</v>
      </c>
      <c r="NO57">
        <f t="shared" si="100"/>
        <v>14098.468559374098</v>
      </c>
      <c r="NP57">
        <f t="shared" si="101"/>
        <v>14137.001336565454</v>
      </c>
      <c r="NQ57">
        <f t="shared" si="101"/>
        <v>14175.53761728907</v>
      </c>
      <c r="NR57">
        <f t="shared" si="101"/>
        <v>14214.077411415145</v>
      </c>
      <c r="NS57">
        <f t="shared" si="101"/>
        <v>14252.620728817372</v>
      </c>
      <c r="NT57">
        <f t="shared" si="101"/>
        <v>14291.167579372985</v>
      </c>
      <c r="NU57">
        <f t="shared" si="101"/>
        <v>14329.717972962746</v>
      </c>
      <c r="NV57">
        <f t="shared" si="101"/>
        <v>14368.271919470955</v>
      </c>
      <c r="NW57">
        <f t="shared" si="101"/>
        <v>14406.829428785473</v>
      </c>
      <c r="NX57">
        <f t="shared" si="101"/>
        <v>14445.390510797719</v>
      </c>
      <c r="NY57">
        <f t="shared" si="101"/>
        <v>14483.955175402692</v>
      </c>
      <c r="NZ57">
        <f t="shared" si="102"/>
        <v>14522.523432498971</v>
      </c>
      <c r="OA57">
        <f t="shared" si="102"/>
        <v>14561.095291988737</v>
      </c>
      <c r="OB57">
        <f t="shared" si="102"/>
        <v>14599.670763777765</v>
      </c>
      <c r="OC57">
        <f t="shared" si="102"/>
        <v>14638.249857775458</v>
      </c>
      <c r="OD57">
        <f t="shared" si="102"/>
        <v>14676.832583894848</v>
      </c>
      <c r="OE57">
        <f t="shared" si="102"/>
        <v>14715.418952052583</v>
      </c>
      <c r="OF57">
        <f t="shared" si="102"/>
        <v>14754.008972168993</v>
      </c>
      <c r="OG57">
        <f t="shared" si="102"/>
        <v>14792.602654168028</v>
      </c>
      <c r="OH57">
        <f t="shared" si="102"/>
        <v>14831.200007977337</v>
      </c>
      <c r="OI57">
        <f t="shared" si="102"/>
        <v>14869.801043528221</v>
      </c>
      <c r="OJ57">
        <f t="shared" si="103"/>
        <v>14908.405770755704</v>
      </c>
      <c r="OK57">
        <f t="shared" si="103"/>
        <v>14947.014199598472</v>
      </c>
      <c r="OL57">
        <f t="shared" si="103"/>
        <v>14985.626339998953</v>
      </c>
      <c r="OM57">
        <f t="shared" si="103"/>
        <v>15024.242201903277</v>
      </c>
      <c r="ON57">
        <f t="shared" si="103"/>
        <v>15062.861795261311</v>
      </c>
      <c r="OO57">
        <f t="shared" si="103"/>
        <v>15101.485130026669</v>
      </c>
      <c r="OP57">
        <f t="shared" si="103"/>
        <v>15140.112216156705</v>
      </c>
      <c r="OQ57">
        <f t="shared" si="103"/>
        <v>15178.743063612546</v>
      </c>
      <c r="OR57">
        <f t="shared" si="103"/>
        <v>15217.377682359096</v>
      </c>
      <c r="OS57">
        <f t="shared" si="103"/>
        <v>15256.016082365033</v>
      </c>
      <c r="OT57">
        <f t="shared" si="104"/>
        <v>15294.658273602825</v>
      </c>
      <c r="OU57">
        <f t="shared" si="104"/>
        <v>15333.304266048759</v>
      </c>
      <c r="OV57">
        <f t="shared" si="104"/>
        <v>15371.954069682941</v>
      </c>
      <c r="OW57">
        <f t="shared" si="104"/>
        <v>15410.607694489277</v>
      </c>
      <c r="OX57">
        <f t="shared" si="104"/>
        <v>15449.26515045554</v>
      </c>
      <c r="OY57">
        <f t="shared" si="104"/>
        <v>15487.926447573329</v>
      </c>
      <c r="OZ57">
        <f t="shared" si="104"/>
        <v>15526.591595838119</v>
      </c>
      <c r="PA57">
        <f t="shared" si="104"/>
        <v>15565.260605249234</v>
      </c>
      <c r="PB57">
        <f t="shared" si="104"/>
        <v>15603.933485809897</v>
      </c>
      <c r="PC57">
        <f t="shared" si="104"/>
        <v>15642.6102475272</v>
      </c>
      <c r="PD57">
        <f t="shared" si="105"/>
        <v>15681.290900412165</v>
      </c>
      <c r="PE57">
        <f t="shared" si="105"/>
        <v>15719.975454479689</v>
      </c>
      <c r="PF57">
        <f t="shared" si="105"/>
        <v>15758.663919748609</v>
      </c>
      <c r="PG57">
        <f t="shared" si="105"/>
        <v>15797.356306241707</v>
      </c>
      <c r="PH57">
        <f t="shared" si="105"/>
        <v>15836.052623985684</v>
      </c>
      <c r="PI57">
        <f t="shared" si="105"/>
        <v>15874.752883011217</v>
      </c>
      <c r="PJ57">
        <f t="shared" si="105"/>
        <v>15913.457093352919</v>
      </c>
      <c r="PK57">
        <f t="shared" si="105"/>
        <v>15952.165265049416</v>
      </c>
      <c r="PL57">
        <f t="shared" si="105"/>
        <v>15990.877408143291</v>
      </c>
      <c r="PM57">
        <f t="shared" si="105"/>
        <v>16029.59353268113</v>
      </c>
      <c r="PN57">
        <f t="shared" si="106"/>
        <v>16068.313648713531</v>
      </c>
      <c r="PO57">
        <f t="shared" si="106"/>
        <v>16107.037766295109</v>
      </c>
      <c r="PP57">
        <f t="shared" si="106"/>
        <v>16145.765895484512</v>
      </c>
      <c r="PQ57">
        <f t="shared" si="106"/>
        <v>16184.498046344404</v>
      </c>
      <c r="PR57">
        <f t="shared" si="106"/>
        <v>16223.234228941539</v>
      </c>
      <c r="PS57">
        <f t="shared" si="106"/>
        <v>16261.974453346689</v>
      </c>
      <c r="PT57">
        <f t="shared" si="106"/>
        <v>16300.718729634747</v>
      </c>
      <c r="PU57">
        <f t="shared" si="106"/>
        <v>16339.467067884636</v>
      </c>
      <c r="PV57">
        <f t="shared" si="106"/>
        <v>16378.219478179411</v>
      </c>
      <c r="PW57">
        <f t="shared" si="106"/>
        <v>16416.975970606207</v>
      </c>
      <c r="PX57">
        <f t="shared" si="107"/>
        <v>16455.736555256299</v>
      </c>
      <c r="PY57">
        <f t="shared" si="107"/>
        <v>16494.501242225066</v>
      </c>
      <c r="PZ57">
        <f t="shared" si="107"/>
        <v>16533.270041612031</v>
      </c>
      <c r="QA57">
        <f t="shared" si="107"/>
        <v>16572.042963520864</v>
      </c>
      <c r="QB57">
        <f t="shared" si="107"/>
        <v>16610.820018059396</v>
      </c>
      <c r="QC57">
        <f t="shared" si="107"/>
        <v>16649.60121533963</v>
      </c>
      <c r="QD57">
        <f t="shared" si="107"/>
        <v>16688.386565477736</v>
      </c>
      <c r="QE57">
        <f t="shared" si="107"/>
        <v>16727.17607859409</v>
      </c>
      <c r="QF57">
        <f t="shared" si="107"/>
        <v>16765.969764813257</v>
      </c>
      <c r="QG57">
        <f t="shared" si="107"/>
        <v>16804.767634264033</v>
      </c>
      <c r="QH57">
        <f t="shared" si="108"/>
        <v>16843.569697079409</v>
      </c>
      <c r="QI57">
        <f t="shared" si="108"/>
        <v>16882.37596339664</v>
      </c>
      <c r="QJ57">
        <f t="shared" si="108"/>
        <v>16921.186443357205</v>
      </c>
      <c r="QK57">
        <f t="shared" si="108"/>
        <v>16960.001147106861</v>
      </c>
      <c r="QL57">
        <f t="shared" si="108"/>
        <v>16998.8200847956</v>
      </c>
      <c r="QM57">
        <f t="shared" si="108"/>
        <v>17037.643266577736</v>
      </c>
      <c r="QN57">
        <f t="shared" si="108"/>
        <v>17076.470702611816</v>
      </c>
      <c r="QO57">
        <f t="shared" si="108"/>
        <v>17115.302403060756</v>
      </c>
      <c r="QP57">
        <f t="shared" si="108"/>
        <v>17154.138378091724</v>
      </c>
      <c r="QQ57">
        <f t="shared" si="108"/>
        <v>17192.978637876226</v>
      </c>
      <c r="QR57">
        <f t="shared" si="109"/>
        <v>17231.823192590124</v>
      </c>
      <c r="QS57">
        <f t="shared" si="109"/>
        <v>17270.672052413596</v>
      </c>
      <c r="QT57">
        <f t="shared" si="109"/>
        <v>17309.525227531201</v>
      </c>
      <c r="QU57">
        <f t="shared" si="109"/>
        <v>17348.382728131834</v>
      </c>
      <c r="QV57">
        <f t="shared" si="109"/>
        <v>17387.244564408786</v>
      </c>
      <c r="QW57">
        <f t="shared" si="109"/>
        <v>17426.110746559745</v>
      </c>
      <c r="QX57">
        <f t="shared" si="109"/>
        <v>17464.981284786794</v>
      </c>
      <c r="QY57">
        <f t="shared" si="109"/>
        <v>17503.856189296363</v>
      </c>
      <c r="QZ57">
        <f t="shared" si="109"/>
        <v>17542.73547029942</v>
      </c>
      <c r="RA57">
        <f t="shared" si="109"/>
        <v>17581.61913801129</v>
      </c>
      <c r="RB57">
        <f t="shared" si="110"/>
        <v>17620.507202651763</v>
      </c>
      <c r="RC57">
        <f t="shared" si="110"/>
        <v>17659.399674445034</v>
      </c>
      <c r="RD57">
        <f t="shared" si="110"/>
        <v>17698.296563619846</v>
      </c>
      <c r="RE57">
        <f t="shared" si="110"/>
        <v>17737.197880409371</v>
      </c>
      <c r="RF57">
        <f t="shared" si="110"/>
        <v>17776.10363505131</v>
      </c>
      <c r="RG57">
        <f t="shared" si="110"/>
        <v>17815.013837787752</v>
      </c>
      <c r="RH57">
        <f t="shared" si="110"/>
        <v>17853.928498865444</v>
      </c>
      <c r="RI57">
        <f t="shared" si="110"/>
        <v>17892.847628535561</v>
      </c>
      <c r="RJ57">
        <f t="shared" si="110"/>
        <v>17931.771237053861</v>
      </c>
      <c r="RK57">
        <f t="shared" si="110"/>
        <v>17970.699334680554</v>
      </c>
      <c r="RL57">
        <f t="shared" si="111"/>
        <v>18009.631931680538</v>
      </c>
      <c r="RM57">
        <f t="shared" si="111"/>
        <v>18048.569038323185</v>
      </c>
      <c r="RN57">
        <f t="shared" si="111"/>
        <v>18087.510664882491</v>
      </c>
      <c r="RO57">
        <f t="shared" si="111"/>
        <v>18126.456821636959</v>
      </c>
      <c r="RP57">
        <f t="shared" si="111"/>
        <v>18165.407518869815</v>
      </c>
      <c r="RQ57">
        <f t="shared" si="111"/>
        <v>18204.362766868799</v>
      </c>
      <c r="RR57">
        <f t="shared" si="111"/>
        <v>18243.322575926355</v>
      </c>
      <c r="RS57">
        <f t="shared" si="111"/>
        <v>18282.286956339431</v>
      </c>
      <c r="RT57">
        <f t="shared" si="111"/>
        <v>18321.255918409766</v>
      </c>
      <c r="RU57">
        <f t="shared" si="111"/>
        <v>18360.229472443694</v>
      </c>
      <c r="RV57">
        <f t="shared" si="112"/>
        <v>18399.20762875217</v>
      </c>
      <c r="RW57">
        <f t="shared" si="112"/>
        <v>18438.190397650891</v>
      </c>
      <c r="RX57">
        <f t="shared" si="112"/>
        <v>18477.17778946022</v>
      </c>
      <c r="RY57">
        <f t="shared" si="112"/>
        <v>18516.169814505261</v>
      </c>
      <c r="RZ57">
        <f t="shared" si="112"/>
        <v>18555.166483115747</v>
      </c>
      <c r="SA57">
        <f t="shared" si="112"/>
        <v>18594.167805626203</v>
      </c>
      <c r="SB57">
        <f t="shared" si="112"/>
        <v>18633.173792375852</v>
      </c>
      <c r="SC57">
        <f t="shared" si="112"/>
        <v>18672.184453708735</v>
      </c>
      <c r="SD57">
        <f t="shared" si="112"/>
        <v>18711.199799973536</v>
      </c>
      <c r="SE57">
        <f t="shared" si="112"/>
        <v>18750.219841523791</v>
      </c>
      <c r="SF57">
        <f t="shared" si="113"/>
        <v>18789.244588717782</v>
      </c>
      <c r="SG57">
        <f t="shared" si="113"/>
        <v>18828.274051918655</v>
      </c>
      <c r="SH57">
        <f t="shared" si="113"/>
        <v>18867.308241494233</v>
      </c>
      <c r="SI57">
        <f t="shared" si="113"/>
        <v>18906.347167817246</v>
      </c>
      <c r="SJ57">
        <f t="shared" si="113"/>
        <v>18945.390841265213</v>
      </c>
      <c r="SK57">
        <f t="shared" si="113"/>
        <v>18984.439272220559</v>
      </c>
      <c r="SL57">
        <f t="shared" si="113"/>
        <v>19023.492471070436</v>
      </c>
      <c r="SM57">
        <f t="shared" si="113"/>
        <v>19062.550448206963</v>
      </c>
      <c r="SN57">
        <f t="shared" si="113"/>
        <v>19101.613214027064</v>
      </c>
      <c r="SO57">
        <f t="shared" si="113"/>
        <v>19140.680778932616</v>
      </c>
      <c r="SP57">
        <f t="shared" si="114"/>
        <v>19179.753153330326</v>
      </c>
      <c r="SQ57">
        <f t="shared" si="114"/>
        <v>19218.830347631847</v>
      </c>
      <c r="SR57">
        <f t="shared" si="114"/>
        <v>19257.912372253726</v>
      </c>
      <c r="SS57">
        <f t="shared" si="114"/>
        <v>19296.999237617452</v>
      </c>
      <c r="ST57">
        <f t="shared" si="114"/>
        <v>19336.090954149455</v>
      </c>
      <c r="SU57">
        <f t="shared" si="114"/>
        <v>19375.187532281117</v>
      </c>
      <c r="SV57">
        <f t="shared" si="114"/>
        <v>19414.288982448794</v>
      </c>
      <c r="SW57">
        <f t="shared" si="114"/>
        <v>19453.395315093789</v>
      </c>
      <c r="SX57">
        <f t="shared" si="114"/>
        <v>19492.50654066242</v>
      </c>
      <c r="SY57">
        <f t="shared" si="114"/>
        <v>19531.622669606008</v>
      </c>
      <c r="SZ57">
        <f t="shared" si="115"/>
        <v>19570.743712380852</v>
      </c>
      <c r="TA57">
        <f t="shared" si="115"/>
        <v>19609.869679448311</v>
      </c>
      <c r="TB57">
        <f t="shared" si="115"/>
        <v>19649.000581274759</v>
      </c>
      <c r="TC57">
        <f t="shared" si="115"/>
        <v>19688.136428331614</v>
      </c>
      <c r="TD57">
        <f t="shared" si="115"/>
        <v>19727.277231095359</v>
      </c>
      <c r="TE57">
        <f t="shared" si="115"/>
        <v>19766.423000047544</v>
      </c>
      <c r="TF57">
        <f t="shared" si="115"/>
        <v>19805.573745674796</v>
      </c>
      <c r="TG57">
        <f t="shared" si="115"/>
        <v>19844.729478468842</v>
      </c>
      <c r="TH57">
        <f t="shared" si="115"/>
        <v>19883.890208926499</v>
      </c>
      <c r="TI57">
        <f t="shared" si="115"/>
        <v>19923.055947549721</v>
      </c>
      <c r="TJ57">
        <f t="shared" si="116"/>
        <v>19962.226704845569</v>
      </c>
      <c r="TK57">
        <f t="shared" si="116"/>
        <v>20001.402491326255</v>
      </c>
      <c r="TL57">
        <f t="shared" si="116"/>
        <v>20040.583317509139</v>
      </c>
      <c r="TM57">
        <f t="shared" si="116"/>
        <v>20079.769193916742</v>
      </c>
      <c r="TN57">
        <f t="shared" si="116"/>
        <v>20118.960131076761</v>
      </c>
      <c r="TO57">
        <f t="shared" si="116"/>
        <v>20158.156139522089</v>
      </c>
      <c r="TP57">
        <f t="shared" si="116"/>
        <v>20197.357229790792</v>
      </c>
      <c r="TQ57">
        <f t="shared" si="116"/>
        <v>20236.563412426178</v>
      </c>
      <c r="TR57">
        <f t="shared" si="116"/>
        <v>20275.77469797674</v>
      </c>
      <c r="TS57">
        <f t="shared" si="116"/>
        <v>20314.991096996248</v>
      </c>
      <c r="TT57">
        <f t="shared" si="117"/>
        <v>20354.212620043672</v>
      </c>
      <c r="TU57">
        <f t="shared" si="117"/>
        <v>20393.439277683283</v>
      </c>
      <c r="TV57">
        <f t="shared" si="117"/>
        <v>20432.671080484579</v>
      </c>
      <c r="TW57">
        <f t="shared" si="117"/>
        <v>20471.908039022368</v>
      </c>
      <c r="TX57">
        <f t="shared" si="117"/>
        <v>20511.150163876744</v>
      </c>
      <c r="TY57">
        <f t="shared" si="117"/>
        <v>20550.397465633108</v>
      </c>
      <c r="TZ57">
        <f t="shared" si="117"/>
        <v>20589.649954882156</v>
      </c>
      <c r="UA57">
        <f t="shared" si="117"/>
        <v>20628.907642219943</v>
      </c>
      <c r="UB57">
        <f t="shared" si="117"/>
        <v>20668.170538247847</v>
      </c>
      <c r="UC57">
        <f t="shared" si="117"/>
        <v>20707.438653572612</v>
      </c>
      <c r="UD57">
        <f t="shared" si="118"/>
        <v>20746.71199880632</v>
      </c>
      <c r="UE57">
        <f t="shared" si="118"/>
        <v>20785.990584566458</v>
      </c>
      <c r="UF57">
        <f t="shared" si="118"/>
        <v>20825.274421475882</v>
      </c>
      <c r="UG57">
        <f t="shared" si="118"/>
        <v>20864.563520162861</v>
      </c>
      <c r="UH57">
        <f t="shared" si="118"/>
        <v>20903.857891261068</v>
      </c>
      <c r="UI57">
        <f t="shared" si="118"/>
        <v>20943.157545409598</v>
      </c>
      <c r="UJ57">
        <f t="shared" si="118"/>
        <v>20982.462493253002</v>
      </c>
      <c r="UK57">
        <f t="shared" si="118"/>
        <v>21021.772745441249</v>
      </c>
      <c r="UL57">
        <f t="shared" si="118"/>
        <v>21061.088312629792</v>
      </c>
      <c r="UM57">
        <f t="shared" si="118"/>
        <v>21100.409205479547</v>
      </c>
      <c r="UN57">
        <f t="shared" si="119"/>
        <v>21139.735434656905</v>
      </c>
      <c r="UO57">
        <f t="shared" si="119"/>
        <v>21179.067010833776</v>
      </c>
      <c r="UP57">
        <f t="shared" si="119"/>
        <v>21218.403944687572</v>
      </c>
      <c r="UQ57">
        <f t="shared" si="119"/>
        <v>21257.74624690121</v>
      </c>
      <c r="UR57">
        <f t="shared" si="119"/>
        <v>21297.093928163144</v>
      </c>
      <c r="US57">
        <f t="shared" si="119"/>
        <v>21336.446999167394</v>
      </c>
      <c r="UT57">
        <f t="shared" si="119"/>
        <v>21375.805470613519</v>
      </c>
      <c r="UU57">
        <f t="shared" si="119"/>
        <v>21415.169353206642</v>
      </c>
      <c r="UV57">
        <f t="shared" si="119"/>
        <v>21454.538657657478</v>
      </c>
      <c r="UW57">
        <f t="shared" si="119"/>
        <v>21493.913394682349</v>
      </c>
      <c r="UX57">
        <f t="shared" si="120"/>
        <v>21533.293575003154</v>
      </c>
      <c r="UY57">
        <f t="shared" si="120"/>
        <v>21572.679209347421</v>
      </c>
      <c r="UZ57">
        <f t="shared" si="120"/>
        <v>21612.070308448314</v>
      </c>
      <c r="VA57">
        <f t="shared" si="120"/>
        <v>21651.466883044643</v>
      </c>
      <c r="VB57">
        <f t="shared" si="120"/>
        <v>21690.868943880869</v>
      </c>
      <c r="VC57">
        <f t="shared" si="120"/>
        <v>21730.2765017071</v>
      </c>
      <c r="VD57">
        <f t="shared" si="120"/>
        <v>21769.689567279147</v>
      </c>
      <c r="VE57">
        <f t="shared" si="120"/>
        <v>21809.108151358509</v>
      </c>
      <c r="VF57">
        <f t="shared" si="120"/>
        <v>21848.532264712394</v>
      </c>
      <c r="VG57">
        <f t="shared" si="120"/>
        <v>21887.961918113702</v>
      </c>
      <c r="VH57">
        <f t="shared" si="121"/>
        <v>21927.397122341095</v>
      </c>
      <c r="VI57">
        <f t="shared" si="121"/>
        <v>21966.837888178932</v>
      </c>
      <c r="VJ57">
        <f t="shared" si="121"/>
        <v>22006.284226417374</v>
      </c>
      <c r="VK57">
        <f t="shared" si="121"/>
        <v>22045.736147852316</v>
      </c>
      <c r="VL57">
        <f t="shared" si="121"/>
        <v>22085.193663285445</v>
      </c>
      <c r="VM57">
        <f t="shared" si="121"/>
        <v>22124.656783524228</v>
      </c>
      <c r="VN57">
        <f t="shared" si="121"/>
        <v>22164.125519381942</v>
      </c>
      <c r="VO57">
        <f t="shared" si="121"/>
        <v>22203.599881677681</v>
      </c>
      <c r="VP57">
        <f t="shared" si="121"/>
        <v>22243.079881236339</v>
      </c>
      <c r="VQ57">
        <f t="shared" si="121"/>
        <v>22282.565528888703</v>
      </c>
      <c r="VR57">
        <f t="shared" si="122"/>
        <v>22322.056835471365</v>
      </c>
      <c r="VS57">
        <f t="shared" si="122"/>
        <v>22361.553811826809</v>
      </c>
      <c r="VT57">
        <f t="shared" si="122"/>
        <v>22401.056468803374</v>
      </c>
      <c r="VU57">
        <f t="shared" si="122"/>
        <v>22440.564817255312</v>
      </c>
      <c r="VV57">
        <f t="shared" si="122"/>
        <v>22480.078868042765</v>
      </c>
      <c r="VW57">
        <f t="shared" si="122"/>
        <v>22519.59863203179</v>
      </c>
      <c r="VX57">
        <f t="shared" si="122"/>
        <v>22559.124120094366</v>
      </c>
      <c r="VY57">
        <f t="shared" si="122"/>
        <v>22598.655343108436</v>
      </c>
      <c r="VZ57">
        <f t="shared" si="122"/>
        <v>22638.192311957853</v>
      </c>
      <c r="WA57">
        <f t="shared" si="122"/>
        <v>22677.73503753249</v>
      </c>
      <c r="WB57">
        <f t="shared" si="123"/>
        <v>22717.283530728142</v>
      </c>
      <c r="WC57">
        <f t="shared" si="123"/>
        <v>22756.837802446629</v>
      </c>
      <c r="WD57">
        <f t="shared" si="123"/>
        <v>22796.397863595776</v>
      </c>
      <c r="WE57">
        <f t="shared" si="123"/>
        <v>22835.96372508939</v>
      </c>
      <c r="WF57">
        <f t="shared" si="123"/>
        <v>22875.53539784735</v>
      </c>
      <c r="WG57">
        <f t="shared" si="123"/>
        <v>22915.11289279554</v>
      </c>
      <c r="WH57">
        <f t="shared" si="123"/>
        <v>22954.69622086591</v>
      </c>
      <c r="WI57">
        <f t="shared" si="123"/>
        <v>22994.285392996491</v>
      </c>
      <c r="WJ57">
        <f t="shared" si="123"/>
        <v>23033.880420131369</v>
      </c>
      <c r="WK57">
        <f t="shared" si="123"/>
        <v>23073.481313220727</v>
      </c>
      <c r="WL57">
        <f t="shared" si="124"/>
        <v>23113.088083220864</v>
      </c>
      <c r="WM57">
        <f t="shared" si="124"/>
        <v>23152.700741094191</v>
      </c>
      <c r="WN57">
        <f t="shared" si="124"/>
        <v>23192.319297809245</v>
      </c>
    </row>
    <row r="60" spans="2:612" x14ac:dyDescent="0.25">
      <c r="J60">
        <f>SUM(J48:J57)</f>
        <v>142.56987122253946</v>
      </c>
      <c r="K60">
        <f t="shared" ref="K60:BV60" si="131">SUM(K48:K57)</f>
        <v>285.13977718849901</v>
      </c>
      <c r="L60">
        <f t="shared" si="131"/>
        <v>427.70975264133256</v>
      </c>
      <c r="M60">
        <f t="shared" si="131"/>
        <v>570.27983232456199</v>
      </c>
      <c r="N60">
        <f t="shared" si="131"/>
        <v>712.85005098181068</v>
      </c>
      <c r="O60">
        <f t="shared" si="131"/>
        <v>855.42044335683681</v>
      </c>
      <c r="P60">
        <f t="shared" si="131"/>
        <v>997.99104419356922</v>
      </c>
      <c r="Q60">
        <f t="shared" si="131"/>
        <v>1140.5618882361389</v>
      </c>
      <c r="R60">
        <f t="shared" si="131"/>
        <v>1283.1330102289139</v>
      </c>
      <c r="S60">
        <f t="shared" si="131"/>
        <v>1425.7044449165342</v>
      </c>
      <c r="T60">
        <f t="shared" si="131"/>
        <v>1568.2762270439439</v>
      </c>
      <c r="U60">
        <f t="shared" si="131"/>
        <v>1710.8483913564255</v>
      </c>
      <c r="V60">
        <f t="shared" si="131"/>
        <v>1853.4209725996348</v>
      </c>
      <c r="W60">
        <f t="shared" si="131"/>
        <v>1995.9940055196328</v>
      </c>
      <c r="X60">
        <f t="shared" si="131"/>
        <v>2138.5675248629218</v>
      </c>
      <c r="Y60">
        <f t="shared" si="131"/>
        <v>2281.1415653764789</v>
      </c>
      <c r="Z60">
        <f t="shared" si="131"/>
        <v>2423.7161618077876</v>
      </c>
      <c r="AA60">
        <f t="shared" si="131"/>
        <v>2566.2913489048742</v>
      </c>
      <c r="AB60">
        <f t="shared" si="131"/>
        <v>2708.8671614163418</v>
      </c>
      <c r="AC60">
        <f t="shared" si="131"/>
        <v>2851.4436340913999</v>
      </c>
      <c r="AD60">
        <f t="shared" si="131"/>
        <v>2994.0208016799061</v>
      </c>
      <c r="AE60">
        <f t="shared" si="131"/>
        <v>3136.5986989323919</v>
      </c>
      <c r="AF60">
        <f t="shared" si="131"/>
        <v>3279.177360600102</v>
      </c>
      <c r="AG60">
        <f t="shared" si="131"/>
        <v>3421.756821435024</v>
      </c>
      <c r="AH60">
        <f t="shared" si="131"/>
        <v>3564.3371161899286</v>
      </c>
      <c r="AI60">
        <f t="shared" si="131"/>
        <v>3706.9182796183959</v>
      </c>
      <c r="AJ60">
        <f t="shared" si="131"/>
        <v>3849.5003464748534</v>
      </c>
      <c r="AK60">
        <f t="shared" si="131"/>
        <v>3992.0833515146105</v>
      </c>
      <c r="AL60">
        <f t="shared" si="131"/>
        <v>4134.6673294938901</v>
      </c>
      <c r="AM60">
        <f t="shared" si="131"/>
        <v>4277.2523151698651</v>
      </c>
      <c r="AN60">
        <f t="shared" si="131"/>
        <v>4419.8383433006902</v>
      </c>
      <c r="AO60">
        <f t="shared" si="131"/>
        <v>4562.4254486455366</v>
      </c>
      <c r="AP60">
        <f t="shared" si="131"/>
        <v>4705.0136659646232</v>
      </c>
      <c r="AQ60">
        <f t="shared" si="131"/>
        <v>4847.6030300192588</v>
      </c>
      <c r="AR60">
        <f t="shared" si="131"/>
        <v>4990.1935755718614</v>
      </c>
      <c r="AS60">
        <f t="shared" si="131"/>
        <v>5132.7853373860089</v>
      </c>
      <c r="AT60">
        <f t="shared" si="131"/>
        <v>5275.378350226465</v>
      </c>
      <c r="AU60">
        <f t="shared" si="131"/>
        <v>5417.9726488592069</v>
      </c>
      <c r="AV60">
        <f t="shared" si="131"/>
        <v>5560.5682680514701</v>
      </c>
      <c r="AW60">
        <f t="shared" si="131"/>
        <v>5703.1652425717757</v>
      </c>
      <c r="AX60">
        <f t="shared" si="131"/>
        <v>5845.7636071899678</v>
      </c>
      <c r="AY60">
        <f t="shared" si="131"/>
        <v>5988.3633966772468</v>
      </c>
      <c r="AZ60">
        <f t="shared" si="131"/>
        <v>6130.9646458061989</v>
      </c>
      <c r="BA60">
        <f t="shared" si="131"/>
        <v>6273.5673893508374</v>
      </c>
      <c r="BB60">
        <f t="shared" si="131"/>
        <v>6416.17166208663</v>
      </c>
      <c r="BC60">
        <f t="shared" si="131"/>
        <v>6558.7774987905359</v>
      </c>
      <c r="BD60">
        <f t="shared" si="131"/>
        <v>6701.3849342410404</v>
      </c>
      <c r="BE60">
        <f t="shared" si="131"/>
        <v>6843.9940032181912</v>
      </c>
      <c r="BF60">
        <f t="shared" si="131"/>
        <v>6986.6047405036206</v>
      </c>
      <c r="BG60">
        <f t="shared" si="131"/>
        <v>7129.2171808805942</v>
      </c>
      <c r="BH60">
        <f t="shared" si="131"/>
        <v>7271.8313591340366</v>
      </c>
      <c r="BI60">
        <f t="shared" si="131"/>
        <v>7414.4473100505684</v>
      </c>
      <c r="BJ60">
        <f t="shared" si="131"/>
        <v>7557.0650684185366</v>
      </c>
      <c r="BK60">
        <f t="shared" si="131"/>
        <v>7699.6846690280545</v>
      </c>
      <c r="BL60">
        <f t="shared" si="131"/>
        <v>7842.3061466710269</v>
      </c>
      <c r="BM60">
        <f t="shared" si="131"/>
        <v>7984.9295361411941</v>
      </c>
      <c r="BN60">
        <f t="shared" si="131"/>
        <v>8127.5548722341573</v>
      </c>
      <c r="BO60">
        <f t="shared" si="131"/>
        <v>8270.1821897474219</v>
      </c>
      <c r="BP60">
        <f t="shared" si="131"/>
        <v>8412.8115234804191</v>
      </c>
      <c r="BQ60">
        <f t="shared" si="131"/>
        <v>8555.4429082345505</v>
      </c>
      <c r="BR60">
        <f t="shared" si="131"/>
        <v>8698.0763788132208</v>
      </c>
      <c r="BS60">
        <f t="shared" si="131"/>
        <v>8840.7119700218554</v>
      </c>
      <c r="BT60">
        <f t="shared" si="131"/>
        <v>8983.3497166679717</v>
      </c>
      <c r="BU60">
        <f t="shared" si="131"/>
        <v>9125.9896535611733</v>
      </c>
      <c r="BV60">
        <f t="shared" si="131"/>
        <v>9268.6318155131976</v>
      </c>
      <c r="BW60">
        <f t="shared" ref="BW60:EH60" si="132">SUM(BW48:BW57)</f>
        <v>9411.2762373379628</v>
      </c>
      <c r="BX60">
        <f t="shared" si="132"/>
        <v>9553.922953851592</v>
      </c>
      <c r="BY60">
        <f t="shared" si="132"/>
        <v>9696.571999872438</v>
      </c>
      <c r="BZ60">
        <f t="shared" si="132"/>
        <v>9839.223410221126</v>
      </c>
      <c r="CA60">
        <f t="shared" si="132"/>
        <v>9981.8772197206017</v>
      </c>
      <c r="CB60">
        <f t="shared" si="132"/>
        <v>10124.533463196138</v>
      </c>
      <c r="CC60">
        <f t="shared" si="132"/>
        <v>10267.192175475388</v>
      </c>
      <c r="CD60">
        <f t="shared" si="132"/>
        <v>10409.853391388409</v>
      </c>
      <c r="CE60">
        <f t="shared" si="132"/>
        <v>10552.517145767708</v>
      </c>
      <c r="CF60">
        <f t="shared" si="132"/>
        <v>10695.183473448269</v>
      </c>
      <c r="CG60">
        <f t="shared" si="132"/>
        <v>10837.852409267573</v>
      </c>
      <c r="CH60">
        <f t="shared" si="132"/>
        <v>10980.523988065663</v>
      </c>
      <c r="CI60">
        <f t="shared" si="132"/>
        <v>11123.198244685156</v>
      </c>
      <c r="CJ60">
        <f t="shared" si="132"/>
        <v>11265.875213971274</v>
      </c>
      <c r="CK60">
        <f t="shared" si="132"/>
        <v>11408.554930771899</v>
      </c>
      <c r="CL60">
        <f t="shared" si="132"/>
        <v>11551.237429937584</v>
      </c>
      <c r="CM60">
        <f t="shared" si="132"/>
        <v>11693.922746321599</v>
      </c>
      <c r="CN60">
        <f t="shared" si="132"/>
        <v>11836.610914779973</v>
      </c>
      <c r="CO60">
        <f t="shared" si="132"/>
        <v>11979.301970171507</v>
      </c>
      <c r="CP60">
        <f t="shared" si="132"/>
        <v>12121.995947357824</v>
      </c>
      <c r="CQ60">
        <f t="shared" si="132"/>
        <v>12264.692881203395</v>
      </c>
      <c r="CR60">
        <f t="shared" si="132"/>
        <v>12407.392806575583</v>
      </c>
      <c r="CS60">
        <f t="shared" si="132"/>
        <v>12550.095758344674</v>
      </c>
      <c r="CT60">
        <f t="shared" si="132"/>
        <v>12692.801771383896</v>
      </c>
      <c r="CU60">
        <f t="shared" si="132"/>
        <v>12835.510880569473</v>
      </c>
      <c r="CV60">
        <f t="shared" si="132"/>
        <v>12978.223120780651</v>
      </c>
      <c r="CW60">
        <f t="shared" si="132"/>
        <v>13120.938526899734</v>
      </c>
      <c r="CX60">
        <f t="shared" si="132"/>
        <v>13263.657133812108</v>
      </c>
      <c r="CY60">
        <f t="shared" si="132"/>
        <v>13406.378976406299</v>
      </c>
      <c r="CZ60">
        <f t="shared" si="132"/>
        <v>13549.104089573982</v>
      </c>
      <c r="DA60">
        <f t="shared" si="132"/>
        <v>13691.83250821002</v>
      </c>
      <c r="DB60">
        <f t="shared" si="132"/>
        <v>13834.564267212518</v>
      </c>
      <c r="DC60">
        <f t="shared" si="132"/>
        <v>13977.299401482833</v>
      </c>
      <c r="DD60">
        <f t="shared" si="132"/>
        <v>14120.037945925618</v>
      </c>
      <c r="DE60">
        <f t="shared" si="132"/>
        <v>14262.779935448852</v>
      </c>
      <c r="DF60">
        <f t="shared" si="132"/>
        <v>14405.525404963901</v>
      </c>
      <c r="DG60">
        <f t="shared" si="132"/>
        <v>14548.274389385489</v>
      </c>
      <c r="DH60">
        <f t="shared" si="132"/>
        <v>14691.026923631814</v>
      </c>
      <c r="DI60">
        <f t="shared" si="132"/>
        <v>14833.783042624516</v>
      </c>
      <c r="DJ60">
        <f t="shared" si="132"/>
        <v>14976.542781288745</v>
      </c>
      <c r="DK60">
        <f t="shared" si="132"/>
        <v>15119.306174553181</v>
      </c>
      <c r="DL60">
        <f t="shared" si="132"/>
        <v>15262.073257350077</v>
      </c>
      <c r="DM60">
        <f t="shared" si="132"/>
        <v>15404.844064615296</v>
      </c>
      <c r="DN60">
        <f t="shared" si="132"/>
        <v>15547.618631288322</v>
      </c>
      <c r="DO60">
        <f t="shared" si="132"/>
        <v>15690.396992312333</v>
      </c>
      <c r="DP60">
        <f t="shared" si="132"/>
        <v>15833.179182634194</v>
      </c>
      <c r="DQ60">
        <f t="shared" si="132"/>
        <v>15975.965237204524</v>
      </c>
      <c r="DR60">
        <f t="shared" si="132"/>
        <v>16118.75519097771</v>
      </c>
      <c r="DS60">
        <f t="shared" si="132"/>
        <v>16261.549078911952</v>
      </c>
      <c r="DT60">
        <f t="shared" si="132"/>
        <v>16404.346935969312</v>
      </c>
      <c r="DU60">
        <f t="shared" si="132"/>
        <v>16547.148797115682</v>
      </c>
      <c r="DV60">
        <f t="shared" si="132"/>
        <v>16689.954697320914</v>
      </c>
      <c r="DW60">
        <f t="shared" si="132"/>
        <v>16832.764671558783</v>
      </c>
      <c r="DX60">
        <f t="shared" si="132"/>
        <v>16975.578754807058</v>
      </c>
      <c r="DY60">
        <f t="shared" si="132"/>
        <v>17118.39698204751</v>
      </c>
      <c r="DZ60">
        <f t="shared" si="132"/>
        <v>17261.21938826597</v>
      </c>
      <c r="EA60">
        <f t="shared" si="132"/>
        <v>17404.046008452344</v>
      </c>
      <c r="EB60">
        <f t="shared" si="132"/>
        <v>17546.876877600676</v>
      </c>
      <c r="EC60">
        <f t="shared" si="132"/>
        <v>17689.712030709139</v>
      </c>
      <c r="ED60">
        <f t="shared" si="132"/>
        <v>17832.551502780108</v>
      </c>
      <c r="EE60">
        <f t="shared" si="132"/>
        <v>17975.395328820181</v>
      </c>
      <c r="EF60">
        <f t="shared" si="132"/>
        <v>18118.243543840199</v>
      </c>
      <c r="EG60">
        <f t="shared" si="132"/>
        <v>18261.096182855305</v>
      </c>
      <c r="EH60">
        <f t="shared" si="132"/>
        <v>18403.953280884962</v>
      </c>
      <c r="EI60">
        <f t="shared" ref="EI60:GT60" si="133">SUM(EI48:EI57)</f>
        <v>18546.814872953004</v>
      </c>
      <c r="EJ60">
        <f t="shared" si="133"/>
        <v>18689.680994087641</v>
      </c>
      <c r="EK60">
        <f t="shared" si="133"/>
        <v>18832.551679321525</v>
      </c>
      <c r="EL60">
        <f t="shared" si="133"/>
        <v>18975.426963691763</v>
      </c>
      <c r="EM60">
        <f t="shared" si="133"/>
        <v>19118.306882239969</v>
      </c>
      <c r="EN60">
        <f t="shared" si="133"/>
        <v>19261.191470012272</v>
      </c>
      <c r="EO60">
        <f t="shared" si="133"/>
        <v>19404.080762059391</v>
      </c>
      <c r="EP60">
        <f t="shared" si="133"/>
        <v>19546.974793436624</v>
      </c>
      <c r="EQ60">
        <f t="shared" si="133"/>
        <v>19689.873599203915</v>
      </c>
      <c r="ER60">
        <f t="shared" si="133"/>
        <v>19832.777214425882</v>
      </c>
      <c r="ES60">
        <f t="shared" si="133"/>
        <v>19975.685674171837</v>
      </c>
      <c r="ET60">
        <f t="shared" si="133"/>
        <v>20118.599013515832</v>
      </c>
      <c r="EU60">
        <f t="shared" si="133"/>
        <v>20261.517267536703</v>
      </c>
      <c r="EV60">
        <f t="shared" si="133"/>
        <v>20404.440471318085</v>
      </c>
      <c r="EW60">
        <f t="shared" si="133"/>
        <v>20547.368659948457</v>
      </c>
      <c r="EX60">
        <f t="shared" si="133"/>
        <v>20690.301868521194</v>
      </c>
      <c r="EY60">
        <f t="shared" si="133"/>
        <v>20833.240132134528</v>
      </c>
      <c r="EZ60">
        <f t="shared" si="133"/>
        <v>20976.18348589171</v>
      </c>
      <c r="FA60">
        <f t="shared" si="133"/>
        <v>21119.131964900924</v>
      </c>
      <c r="FB60">
        <f t="shared" si="133"/>
        <v>21262.08560427538</v>
      </c>
      <c r="FC60">
        <f t="shared" si="133"/>
        <v>21405.044439133351</v>
      </c>
      <c r="FD60">
        <f t="shared" si="133"/>
        <v>21548.008504598176</v>
      </c>
      <c r="FE60">
        <f t="shared" si="133"/>
        <v>21690.977835798327</v>
      </c>
      <c r="FF60">
        <f t="shared" si="133"/>
        <v>21833.952467867421</v>
      </c>
      <c r="FG60">
        <f t="shared" si="133"/>
        <v>21976.93243594428</v>
      </c>
      <c r="FH60">
        <f t="shared" si="133"/>
        <v>22119.917775172929</v>
      </c>
      <c r="FI60">
        <f t="shared" si="133"/>
        <v>22262.908520702669</v>
      </c>
      <c r="FJ60">
        <f t="shared" si="133"/>
        <v>22405.904707688082</v>
      </c>
      <c r="FK60">
        <f t="shared" si="133"/>
        <v>22548.906371289082</v>
      </c>
      <c r="FL60">
        <f t="shared" si="133"/>
        <v>22691.913546670952</v>
      </c>
      <c r="FM60">
        <f t="shared" si="133"/>
        <v>22834.926269004354</v>
      </c>
      <c r="FN60">
        <f t="shared" si="133"/>
        <v>22977.944573465407</v>
      </c>
      <c r="FO60">
        <f t="shared" si="133"/>
        <v>23120.96849523568</v>
      </c>
      <c r="FP60">
        <f t="shared" si="133"/>
        <v>23263.998069502246</v>
      </c>
      <c r="FQ60">
        <f t="shared" si="133"/>
        <v>23407.033331457718</v>
      </c>
      <c r="FR60">
        <f t="shared" si="133"/>
        <v>23550.074316300281</v>
      </c>
      <c r="FS60">
        <f t="shared" si="133"/>
        <v>23693.121059233716</v>
      </c>
      <c r="FT60">
        <f t="shared" si="133"/>
        <v>23836.173595467459</v>
      </c>
      <c r="FU60">
        <f t="shared" si="133"/>
        <v>23979.231960216614</v>
      </c>
      <c r="FV60">
        <f t="shared" si="133"/>
        <v>24122.296188701999</v>
      </c>
      <c r="FW60">
        <f t="shared" si="133"/>
        <v>24265.366316150161</v>
      </c>
      <c r="FX60">
        <f t="shared" si="133"/>
        <v>24408.442377793461</v>
      </c>
      <c r="FY60">
        <f t="shared" si="133"/>
        <v>24551.524408870042</v>
      </c>
      <c r="FZ60">
        <f t="shared" si="133"/>
        <v>24694.612444623916</v>
      </c>
      <c r="GA60">
        <f t="shared" si="133"/>
        <v>24837.706520304971</v>
      </c>
      <c r="GB60">
        <f t="shared" si="133"/>
        <v>24980.806671169026</v>
      </c>
      <c r="GC60">
        <f t="shared" si="133"/>
        <v>25123.912932477833</v>
      </c>
      <c r="GD60">
        <f t="shared" si="133"/>
        <v>25267.02533949916</v>
      </c>
      <c r="GE60">
        <f t="shared" si="133"/>
        <v>25410.143927506775</v>
      </c>
      <c r="GF60">
        <f t="shared" si="133"/>
        <v>25553.268731780528</v>
      </c>
      <c r="GG60">
        <f t="shared" si="133"/>
        <v>25696.399787606359</v>
      </c>
      <c r="GH60">
        <f t="shared" si="133"/>
        <v>25839.537130276316</v>
      </c>
      <c r="GI60">
        <f t="shared" si="133"/>
        <v>25982.68079508864</v>
      </c>
      <c r="GJ60">
        <f t="shared" si="133"/>
        <v>26125.830817347749</v>
      </c>
      <c r="GK60">
        <f t="shared" si="133"/>
        <v>26268.987232364325</v>
      </c>
      <c r="GL60">
        <f t="shared" si="133"/>
        <v>26412.150075455287</v>
      </c>
      <c r="GM60">
        <f t="shared" si="133"/>
        <v>26555.319381943867</v>
      </c>
      <c r="GN60">
        <f t="shared" si="133"/>
        <v>26698.49518715966</v>
      </c>
      <c r="GO60">
        <f t="shared" si="133"/>
        <v>26841.677526438609</v>
      </c>
      <c r="GP60">
        <f t="shared" si="133"/>
        <v>26984.866435123069</v>
      </c>
      <c r="GQ60">
        <f t="shared" si="133"/>
        <v>27128.061948561866</v>
      </c>
      <c r="GR60">
        <f t="shared" si="133"/>
        <v>27271.264102110279</v>
      </c>
      <c r="GS60">
        <f t="shared" si="133"/>
        <v>27414.472931130102</v>
      </c>
      <c r="GT60">
        <f t="shared" si="133"/>
        <v>27557.688470989713</v>
      </c>
      <c r="GU60">
        <f t="shared" ref="GU60:HA60" si="134">SUM(GU48:GU57)</f>
        <v>27700.910757064026</v>
      </c>
      <c r="GV60">
        <f t="shared" si="134"/>
        <v>27844.139824734622</v>
      </c>
      <c r="GW60">
        <f t="shared" si="134"/>
        <v>27987.375709389707</v>
      </c>
      <c r="GX60">
        <f t="shared" si="134"/>
        <v>28130.6184464242</v>
      </c>
      <c r="GY60">
        <f t="shared" si="134"/>
        <v>28273.868071239718</v>
      </c>
      <c r="GZ60">
        <f t="shared" si="134"/>
        <v>28417.124619244678</v>
      </c>
      <c r="HA60">
        <f t="shared" si="134"/>
        <v>28560.388125854264</v>
      </c>
      <c r="HB60">
        <f t="shared" ref="HB60:JM60" si="135">SUM(HB48:HB57)</f>
        <v>28703.658626490498</v>
      </c>
      <c r="HC60">
        <f t="shared" si="135"/>
        <v>28846.936156582298</v>
      </c>
      <c r="HD60">
        <f t="shared" si="135"/>
        <v>28990.220751565423</v>
      </c>
      <c r="HE60">
        <f t="shared" si="135"/>
        <v>29133.51244688264</v>
      </c>
      <c r="HF60">
        <f t="shared" si="135"/>
        <v>29276.811277983634</v>
      </c>
      <c r="HG60">
        <f t="shared" si="135"/>
        <v>29420.11728032515</v>
      </c>
      <c r="HH60">
        <f t="shared" si="135"/>
        <v>29563.430489370923</v>
      </c>
      <c r="HI60">
        <f t="shared" si="135"/>
        <v>29706.75094059181</v>
      </c>
      <c r="HJ60">
        <f t="shared" si="135"/>
        <v>29850.078669465758</v>
      </c>
      <c r="HK60">
        <f t="shared" si="135"/>
        <v>29993.413711477886</v>
      </c>
      <c r="HL60">
        <f t="shared" si="135"/>
        <v>30136.756102120475</v>
      </c>
      <c r="HM60">
        <f t="shared" si="135"/>
        <v>30280.105876893045</v>
      </c>
      <c r="HN60">
        <f t="shared" si="135"/>
        <v>30423.463071302362</v>
      </c>
      <c r="HO60">
        <f t="shared" si="135"/>
        <v>30566.827720862497</v>
      </c>
      <c r="HP60">
        <f t="shared" si="135"/>
        <v>30710.199861094825</v>
      </c>
      <c r="HQ60">
        <f t="shared" si="135"/>
        <v>30853.579527528105</v>
      </c>
      <c r="HR60">
        <f t="shared" si="135"/>
        <v>30996.9667556985</v>
      </c>
      <c r="HS60">
        <f t="shared" si="135"/>
        <v>31140.361581149598</v>
      </c>
      <c r="HT60">
        <f t="shared" si="135"/>
        <v>31283.764039432433</v>
      </c>
      <c r="HU60">
        <f t="shared" si="135"/>
        <v>31427.174166105578</v>
      </c>
      <c r="HV60">
        <f t="shared" si="135"/>
        <v>31570.591996735129</v>
      </c>
      <c r="HW60">
        <f t="shared" si="135"/>
        <v>31714.017566894778</v>
      </c>
      <c r="HX60">
        <f t="shared" si="135"/>
        <v>31857.450912165787</v>
      </c>
      <c r="HY60">
        <f t="shared" si="135"/>
        <v>32000.892068137124</v>
      </c>
      <c r="HZ60">
        <f t="shared" si="135"/>
        <v>32144.341070405397</v>
      </c>
      <c r="IA60">
        <f t="shared" si="135"/>
        <v>32287.797954574933</v>
      </c>
      <c r="IB60">
        <f t="shared" si="135"/>
        <v>32431.262756257853</v>
      </c>
      <c r="IC60">
        <f t="shared" si="135"/>
        <v>32574.73551107401</v>
      </c>
      <c r="ID60">
        <f t="shared" si="135"/>
        <v>32718.216254651139</v>
      </c>
      <c r="IE60">
        <f t="shared" si="135"/>
        <v>32861.705022624796</v>
      </c>
      <c r="IF60">
        <f t="shared" si="135"/>
        <v>33005.201850638456</v>
      </c>
      <c r="IG60">
        <f t="shared" si="135"/>
        <v>33148.706774343518</v>
      </c>
      <c r="IH60">
        <f t="shared" si="135"/>
        <v>33292.219829399357</v>
      </c>
      <c r="II60">
        <f t="shared" si="135"/>
        <v>33435.741051473335</v>
      </c>
      <c r="IJ60">
        <f t="shared" si="135"/>
        <v>33579.270476240876</v>
      </c>
      <c r="IK60">
        <f t="shared" si="135"/>
        <v>33722.808139385474</v>
      </c>
      <c r="IL60">
        <f t="shared" si="135"/>
        <v>33866.354076598727</v>
      </c>
      <c r="IM60">
        <f t="shared" si="135"/>
        <v>34009.908323580385</v>
      </c>
      <c r="IN60">
        <f t="shared" si="135"/>
        <v>34153.470916038408</v>
      </c>
      <c r="IO60">
        <f t="shared" si="135"/>
        <v>34297.041889688895</v>
      </c>
      <c r="IP60">
        <f t="shared" si="135"/>
        <v>34440.621280256317</v>
      </c>
      <c r="IQ60">
        <f t="shared" si="135"/>
        <v>34584.209123473338</v>
      </c>
      <c r="IR60">
        <f t="shared" si="135"/>
        <v>34727.805455080997</v>
      </c>
      <c r="IS60">
        <f t="shared" si="135"/>
        <v>34871.410310828687</v>
      </c>
      <c r="IT60">
        <f t="shared" si="135"/>
        <v>35015.023726474195</v>
      </c>
      <c r="IU60">
        <f t="shared" si="135"/>
        <v>35158.645737783751</v>
      </c>
      <c r="IV60">
        <f t="shared" si="135"/>
        <v>35302.27638053205</v>
      </c>
      <c r="IW60">
        <f t="shared" si="135"/>
        <v>35445.915690502297</v>
      </c>
      <c r="IX60">
        <f t="shared" si="135"/>
        <v>35589.563703486252</v>
      </c>
      <c r="IY60">
        <f t="shared" si="135"/>
        <v>35733.220455284216</v>
      </c>
      <c r="IZ60">
        <f t="shared" si="135"/>
        <v>35876.885981705156</v>
      </c>
      <c r="JA60">
        <f t="shared" si="135"/>
        <v>36020.560318566655</v>
      </c>
      <c r="JB60">
        <f t="shared" si="135"/>
        <v>36164.243501694997</v>
      </c>
      <c r="JC60">
        <f t="shared" si="135"/>
        <v>36307.935566925211</v>
      </c>
      <c r="JD60">
        <f t="shared" si="135"/>
        <v>36451.636550101008</v>
      </c>
      <c r="JE60">
        <f t="shared" si="135"/>
        <v>36595.346487075003</v>
      </c>
      <c r="JF60">
        <f t="shared" si="135"/>
        <v>36739.065413708558</v>
      </c>
      <c r="JG60">
        <f t="shared" si="135"/>
        <v>36882.793365871956</v>
      </c>
      <c r="JH60">
        <f t="shared" si="135"/>
        <v>37026.530379444339</v>
      </c>
      <c r="JI60">
        <f t="shared" si="135"/>
        <v>37170.276490313845</v>
      </c>
      <c r="JJ60">
        <f t="shared" si="135"/>
        <v>37314.031734377531</v>
      </c>
      <c r="JK60">
        <f t="shared" si="135"/>
        <v>37457.796147541514</v>
      </c>
      <c r="JL60">
        <f t="shared" si="135"/>
        <v>37601.569765720938</v>
      </c>
      <c r="JM60">
        <f t="shared" si="135"/>
        <v>37745.35262484003</v>
      </c>
      <c r="JN60">
        <f t="shared" ref="JN60:LY60" si="136">SUM(JN48:JN57)</f>
        <v>37889.144760832154</v>
      </c>
      <c r="JO60">
        <f t="shared" si="136"/>
        <v>38032.94620963982</v>
      </c>
      <c r="JP60">
        <f t="shared" si="136"/>
        <v>38176.757007214735</v>
      </c>
      <c r="JQ60">
        <f t="shared" si="136"/>
        <v>38320.577189517862</v>
      </c>
      <c r="JR60">
        <f t="shared" si="136"/>
        <v>38464.406792519389</v>
      </c>
      <c r="JS60">
        <f t="shared" si="136"/>
        <v>38608.24585219883</v>
      </c>
      <c r="JT60">
        <f t="shared" si="136"/>
        <v>38752.094404545052</v>
      </c>
      <c r="JU60">
        <f t="shared" si="136"/>
        <v>38895.952485556278</v>
      </c>
      <c r="JV60">
        <f t="shared" si="136"/>
        <v>39039.820131240151</v>
      </c>
      <c r="JW60">
        <f t="shared" si="136"/>
        <v>39183.697377613789</v>
      </c>
      <c r="JX60">
        <f t="shared" si="136"/>
        <v>39327.584260703741</v>
      </c>
      <c r="JY60">
        <f t="shared" si="136"/>
        <v>39471.480816546144</v>
      </c>
      <c r="JZ60">
        <f t="shared" si="136"/>
        <v>39615.387081186651</v>
      </c>
      <c r="KA60">
        <f t="shared" si="136"/>
        <v>39759.303090680507</v>
      </c>
      <c r="KB60">
        <f t="shared" si="136"/>
        <v>39903.22888109264</v>
      </c>
      <c r="KC60">
        <f t="shared" si="136"/>
        <v>40047.164488497598</v>
      </c>
      <c r="KD60">
        <f t="shared" si="136"/>
        <v>40191.109948979647</v>
      </c>
      <c r="KE60">
        <f t="shared" si="136"/>
        <v>40335.065298632813</v>
      </c>
      <c r="KF60">
        <f t="shared" si="136"/>
        <v>40479.0305735609</v>
      </c>
      <c r="KG60">
        <f t="shared" si="136"/>
        <v>40623.005809877483</v>
      </c>
      <c r="KH60">
        <f t="shared" si="136"/>
        <v>40766.991043706061</v>
      </c>
      <c r="KI60">
        <f t="shared" si="136"/>
        <v>40910.986311179979</v>
      </c>
      <c r="KJ60">
        <f t="shared" si="136"/>
        <v>41054.991648442505</v>
      </c>
      <c r="KK60">
        <f t="shared" si="136"/>
        <v>41199.007091646898</v>
      </c>
      <c r="KL60">
        <f t="shared" si="136"/>
        <v>41343.032676956398</v>
      </c>
      <c r="KM60">
        <f t="shared" si="136"/>
        <v>41487.068440544288</v>
      </c>
      <c r="KN60">
        <f t="shared" si="136"/>
        <v>41631.114418593919</v>
      </c>
      <c r="KO60">
        <f t="shared" si="136"/>
        <v>41775.170647298757</v>
      </c>
      <c r="KP60">
        <f t="shared" si="136"/>
        <v>41919.237162862431</v>
      </c>
      <c r="KQ60">
        <f t="shared" si="136"/>
        <v>42063.314001498715</v>
      </c>
      <c r="KR60">
        <f t="shared" si="136"/>
        <v>42207.401199431653</v>
      </c>
      <c r="KS60">
        <f t="shared" si="136"/>
        <v>42351.498792895516</v>
      </c>
      <c r="KT60">
        <f t="shared" si="136"/>
        <v>42495.606818134882</v>
      </c>
      <c r="KU60">
        <f t="shared" si="136"/>
        <v>42639.725311404654</v>
      </c>
      <c r="KV60">
        <f t="shared" si="136"/>
        <v>42783.854308970112</v>
      </c>
      <c r="KW60">
        <f t="shared" si="136"/>
        <v>42927.99384710694</v>
      </c>
      <c r="KX60">
        <f t="shared" si="136"/>
        <v>43072.143962101269</v>
      </c>
      <c r="KY60">
        <f t="shared" si="136"/>
        <v>43216.304690249701</v>
      </c>
      <c r="KZ60">
        <f t="shared" si="136"/>
        <v>43360.476067859367</v>
      </c>
      <c r="LA60">
        <f t="shared" si="136"/>
        <v>43504.658131247954</v>
      </c>
      <c r="LB60">
        <f t="shared" si="136"/>
        <v>43648.85091674373</v>
      </c>
      <c r="LC60">
        <f t="shared" si="136"/>
        <v>43793.054460685591</v>
      </c>
      <c r="LD60">
        <f t="shared" si="136"/>
        <v>43937.268799423124</v>
      </c>
      <c r="LE60">
        <f t="shared" si="136"/>
        <v>44081.493969316602</v>
      </c>
      <c r="LF60">
        <f t="shared" si="136"/>
        <v>44225.730006737038</v>
      </c>
      <c r="LG60">
        <f t="shared" si="136"/>
        <v>44369.976948066222</v>
      </c>
      <c r="LH60">
        <f t="shared" si="136"/>
        <v>44514.234829696768</v>
      </c>
      <c r="LI60">
        <f t="shared" si="136"/>
        <v>44658.503688032157</v>
      </c>
      <c r="LJ60">
        <f t="shared" si="136"/>
        <v>44802.783559486699</v>
      </c>
      <c r="LK60">
        <f t="shared" si="136"/>
        <v>44947.07448048571</v>
      </c>
      <c r="LL60">
        <f t="shared" si="136"/>
        <v>45091.376487465415</v>
      </c>
      <c r="LM60">
        <f t="shared" si="136"/>
        <v>45235.689616873104</v>
      </c>
      <c r="LN60">
        <f t="shared" si="136"/>
        <v>45380.013905167019</v>
      </c>
      <c r="LO60">
        <f t="shared" si="136"/>
        <v>45524.349388816554</v>
      </c>
      <c r="LP60">
        <f t="shared" si="136"/>
        <v>45668.696104302202</v>
      </c>
      <c r="LQ60">
        <f t="shared" si="136"/>
        <v>45813.054088115561</v>
      </c>
      <c r="LR60">
        <f t="shared" si="136"/>
        <v>45957.423376759478</v>
      </c>
      <c r="LS60">
        <f t="shared" si="136"/>
        <v>46101.804006748018</v>
      </c>
      <c r="LT60">
        <f t="shared" si="136"/>
        <v>46246.196014606452</v>
      </c>
      <c r="LU60">
        <f t="shared" si="136"/>
        <v>46390.599436871475</v>
      </c>
      <c r="LV60">
        <f t="shared" si="136"/>
        <v>46535.014310090992</v>
      </c>
      <c r="LW60">
        <f t="shared" si="136"/>
        <v>46679.440670824355</v>
      </c>
      <c r="LX60">
        <f t="shared" si="136"/>
        <v>46823.878555642324</v>
      </c>
      <c r="LY60">
        <f t="shared" si="136"/>
        <v>46968.328001127098</v>
      </c>
      <c r="LZ60">
        <f t="shared" ref="LZ60:OK60" si="137">SUM(LZ48:LZ57)</f>
        <v>47112.789043872392</v>
      </c>
      <c r="MA60">
        <f t="shared" si="137"/>
        <v>47257.26172048341</v>
      </c>
      <c r="MB60">
        <f t="shared" si="137"/>
        <v>47401.746067576969</v>
      </c>
      <c r="MC60">
        <f t="shared" si="137"/>
        <v>47546.242121781477</v>
      </c>
      <c r="MD60">
        <f t="shared" si="137"/>
        <v>47690.749919736954</v>
      </c>
      <c r="ME60">
        <f t="shared" si="137"/>
        <v>47835.269498095135</v>
      </c>
      <c r="MF60">
        <f t="shared" si="137"/>
        <v>47979.800893519459</v>
      </c>
      <c r="MG60">
        <f t="shared" si="137"/>
        <v>48124.34414268512</v>
      </c>
      <c r="MH60">
        <f t="shared" si="137"/>
        <v>48268.899282279112</v>
      </c>
      <c r="MI60">
        <f t="shared" si="137"/>
        <v>48413.466349000249</v>
      </c>
      <c r="MJ60">
        <f t="shared" si="137"/>
        <v>48558.045379559233</v>
      </c>
      <c r="MK60">
        <f t="shared" si="137"/>
        <v>48702.636410678657</v>
      </c>
      <c r="ML60">
        <f t="shared" si="137"/>
        <v>48847.239479093085</v>
      </c>
      <c r="MM60">
        <f t="shared" si="137"/>
        <v>48991.854621549013</v>
      </c>
      <c r="MN60">
        <f t="shared" si="137"/>
        <v>49136.481874805031</v>
      </c>
      <c r="MO60">
        <f t="shared" si="137"/>
        <v>49281.121275631725</v>
      </c>
      <c r="MP60">
        <f t="shared" si="137"/>
        <v>49425.77286081182</v>
      </c>
      <c r="MQ60">
        <f t="shared" si="137"/>
        <v>49570.436667140159</v>
      </c>
      <c r="MR60">
        <f t="shared" si="137"/>
        <v>49715.112731423767</v>
      </c>
      <c r="MS60">
        <f t="shared" si="137"/>
        <v>49859.801090481851</v>
      </c>
      <c r="MT60">
        <f t="shared" si="137"/>
        <v>50004.50178114594</v>
      </c>
      <c r="MU60">
        <f t="shared" si="137"/>
        <v>50149.214840259767</v>
      </c>
      <c r="MV60">
        <f t="shared" si="137"/>
        <v>50293.940304679461</v>
      </c>
      <c r="MW60">
        <f t="shared" si="137"/>
        <v>50438.67821127348</v>
      </c>
      <c r="MX60">
        <f t="shared" si="137"/>
        <v>50583.428596922691</v>
      </c>
      <c r="MY60">
        <f t="shared" si="137"/>
        <v>50728.191498520428</v>
      </c>
      <c r="MZ60">
        <f t="shared" si="137"/>
        <v>50872.966952972463</v>
      </c>
      <c r="NA60">
        <f t="shared" si="137"/>
        <v>51017.754997197131</v>
      </c>
      <c r="NB60">
        <f t="shared" si="137"/>
        <v>51162.555668125278</v>
      </c>
      <c r="NC60">
        <f t="shared" si="137"/>
        <v>51307.369002700405</v>
      </c>
      <c r="ND60">
        <f t="shared" si="137"/>
        <v>51452.195037878599</v>
      </c>
      <c r="NE60">
        <f t="shared" si="137"/>
        <v>51597.033810628636</v>
      </c>
      <c r="NF60">
        <f t="shared" si="137"/>
        <v>51741.885357932013</v>
      </c>
      <c r="NG60">
        <f t="shared" si="137"/>
        <v>51886.749716782964</v>
      </c>
      <c r="NH60">
        <f t="shared" si="137"/>
        <v>52031.626924188502</v>
      </c>
      <c r="NI60">
        <f t="shared" si="137"/>
        <v>52176.517017168517</v>
      </c>
      <c r="NJ60">
        <f t="shared" si="137"/>
        <v>52321.420032755705</v>
      </c>
      <c r="NK60">
        <f t="shared" si="137"/>
        <v>52466.336007995691</v>
      </c>
      <c r="NL60">
        <f t="shared" si="137"/>
        <v>52611.264979947046</v>
      </c>
      <c r="NM60">
        <f t="shared" si="137"/>
        <v>52756.206985681354</v>
      </c>
      <c r="NN60">
        <f t="shared" si="137"/>
        <v>52901.162062283169</v>
      </c>
      <c r="NO60">
        <f t="shared" si="137"/>
        <v>53046.130246850109</v>
      </c>
      <c r="NP60">
        <f t="shared" si="137"/>
        <v>53191.11157649292</v>
      </c>
      <c r="NQ60">
        <f t="shared" si="137"/>
        <v>53336.106088335488</v>
      </c>
      <c r="NR60">
        <f t="shared" si="137"/>
        <v>53481.113819514852</v>
      </c>
      <c r="NS60">
        <f t="shared" si="137"/>
        <v>53626.134807181268</v>
      </c>
      <c r="NT60">
        <f t="shared" si="137"/>
        <v>53771.169088498253</v>
      </c>
      <c r="NU60">
        <f t="shared" si="137"/>
        <v>53916.216700642639</v>
      </c>
      <c r="NV60">
        <f t="shared" si="137"/>
        <v>54061.277680804531</v>
      </c>
      <c r="NW60">
        <f t="shared" si="137"/>
        <v>54206.352066187486</v>
      </c>
      <c r="NX60">
        <f t="shared" si="137"/>
        <v>54351.439894008407</v>
      </c>
      <c r="NY60">
        <f t="shared" si="137"/>
        <v>54496.541201497661</v>
      </c>
      <c r="NZ60">
        <f t="shared" si="137"/>
        <v>54641.656025899138</v>
      </c>
      <c r="OA60">
        <f t="shared" si="137"/>
        <v>54786.784404470214</v>
      </c>
      <c r="OB60">
        <f t="shared" si="137"/>
        <v>54931.926374481838</v>
      </c>
      <c r="OC60">
        <f t="shared" si="137"/>
        <v>55077.081973218585</v>
      </c>
      <c r="OD60">
        <f t="shared" si="137"/>
        <v>55222.251237978679</v>
      </c>
      <c r="OE60">
        <f t="shared" si="137"/>
        <v>55367.43420607398</v>
      </c>
      <c r="OF60">
        <f t="shared" si="137"/>
        <v>55512.630914830166</v>
      </c>
      <c r="OG60">
        <f t="shared" si="137"/>
        <v>55657.841401586549</v>
      </c>
      <c r="OH60">
        <f t="shared" si="137"/>
        <v>55803.06570369636</v>
      </c>
      <c r="OI60">
        <f t="shared" si="137"/>
        <v>55948.303858526604</v>
      </c>
      <c r="OJ60">
        <f t="shared" si="137"/>
        <v>56093.555903458211</v>
      </c>
      <c r="OK60">
        <f t="shared" si="137"/>
        <v>56238.821875885973</v>
      </c>
      <c r="OL60">
        <f t="shared" ref="OL60:QW60" si="138">SUM(OL48:OL57)</f>
        <v>56384.101813218724</v>
      </c>
      <c r="OM60">
        <f t="shared" si="138"/>
        <v>56529.395752879216</v>
      </c>
      <c r="ON60">
        <f t="shared" si="138"/>
        <v>56674.703732304304</v>
      </c>
      <c r="OO60">
        <f t="shared" si="138"/>
        <v>56820.025788944891</v>
      </c>
      <c r="OP60">
        <f t="shared" si="138"/>
        <v>56965.361960265975</v>
      </c>
      <c r="OQ60">
        <f t="shared" si="138"/>
        <v>57110.712283746761</v>
      </c>
      <c r="OR60">
        <f t="shared" si="138"/>
        <v>57256.076796880654</v>
      </c>
      <c r="OS60">
        <f t="shared" si="138"/>
        <v>57401.45553717525</v>
      </c>
      <c r="OT60">
        <f t="shared" si="138"/>
        <v>57546.848542152424</v>
      </c>
      <c r="OU60">
        <f t="shared" si="138"/>
        <v>57692.25584934841</v>
      </c>
      <c r="OV60">
        <f t="shared" si="138"/>
        <v>57837.677496313794</v>
      </c>
      <c r="OW60">
        <f t="shared" si="138"/>
        <v>57983.113520613515</v>
      </c>
      <c r="OX60">
        <f t="shared" si="138"/>
        <v>58128.56395982697</v>
      </c>
      <c r="OY60">
        <f t="shared" si="138"/>
        <v>58274.028851548057</v>
      </c>
      <c r="OZ60">
        <f t="shared" si="138"/>
        <v>58419.508233385175</v>
      </c>
      <c r="PA60">
        <f t="shared" si="138"/>
        <v>58565.002142961253</v>
      </c>
      <c r="PB60">
        <f t="shared" si="138"/>
        <v>58710.51061791386</v>
      </c>
      <c r="PC60">
        <f t="shared" si="138"/>
        <v>58856.033695895145</v>
      </c>
      <c r="PD60">
        <f t="shared" si="138"/>
        <v>59001.571414572027</v>
      </c>
      <c r="PE60">
        <f t="shared" si="138"/>
        <v>59147.123811626006</v>
      </c>
      <c r="PF60">
        <f t="shared" si="138"/>
        <v>59292.690924753435</v>
      </c>
      <c r="PG60">
        <f t="shared" si="138"/>
        <v>59438.272791665484</v>
      </c>
      <c r="PH60">
        <f t="shared" si="138"/>
        <v>59583.869450088052</v>
      </c>
      <c r="PI60">
        <f t="shared" si="138"/>
        <v>59729.480937762026</v>
      </c>
      <c r="PJ60">
        <f t="shared" si="138"/>
        <v>59875.107292443099</v>
      </c>
      <c r="PK60">
        <f t="shared" si="138"/>
        <v>60020.748551902063</v>
      </c>
      <c r="PL60">
        <f t="shared" si="138"/>
        <v>60166.40475392458</v>
      </c>
      <c r="PM60">
        <f t="shared" si="138"/>
        <v>60312.075936311405</v>
      </c>
      <c r="PN60">
        <f t="shared" si="138"/>
        <v>60457.762136878358</v>
      </c>
      <c r="PO60">
        <f t="shared" si="138"/>
        <v>60603.46339345639</v>
      </c>
      <c r="PP60">
        <f t="shared" si="138"/>
        <v>60749.179743891626</v>
      </c>
      <c r="PQ60">
        <f t="shared" si="138"/>
        <v>60894.911226045297</v>
      </c>
      <c r="PR60">
        <f t="shared" si="138"/>
        <v>61040.657877794016</v>
      </c>
      <c r="PS60">
        <f t="shared" si="138"/>
        <v>61186.419737029537</v>
      </c>
      <c r="PT60">
        <f t="shared" si="138"/>
        <v>61332.196841659075</v>
      </c>
      <c r="PU60">
        <f t="shared" si="138"/>
        <v>61477.989229605075</v>
      </c>
      <c r="PV60">
        <f t="shared" si="138"/>
        <v>61623.796938805448</v>
      </c>
      <c r="PW60">
        <f t="shared" si="138"/>
        <v>61769.62000721354</v>
      </c>
      <c r="PX60">
        <f t="shared" si="138"/>
        <v>61915.458472798215</v>
      </c>
      <c r="PY60">
        <f t="shared" si="138"/>
        <v>62061.312373543798</v>
      </c>
      <c r="PZ60">
        <f t="shared" si="138"/>
        <v>62207.181747450188</v>
      </c>
      <c r="QA60">
        <f t="shared" si="138"/>
        <v>62353.066632532929</v>
      </c>
      <c r="QB60">
        <f t="shared" si="138"/>
        <v>62498.967066823185</v>
      </c>
      <c r="QC60">
        <f t="shared" si="138"/>
        <v>62644.883088367838</v>
      </c>
      <c r="QD60">
        <f t="shared" si="138"/>
        <v>62790.814735229404</v>
      </c>
      <c r="QE60">
        <f t="shared" si="138"/>
        <v>62936.762045486292</v>
      </c>
      <c r="QF60">
        <f t="shared" si="138"/>
        <v>63082.725057232645</v>
      </c>
      <c r="QG60">
        <f t="shared" si="138"/>
        <v>63228.703808578488</v>
      </c>
      <c r="QH60">
        <f t="shared" si="138"/>
        <v>63374.698337649686</v>
      </c>
      <c r="QI60">
        <f t="shared" si="138"/>
        <v>63520.708682588105</v>
      </c>
      <c r="QJ60">
        <f t="shared" si="138"/>
        <v>63666.734881551543</v>
      </c>
      <c r="QK60">
        <f t="shared" si="138"/>
        <v>63812.776972713851</v>
      </c>
      <c r="QL60">
        <f t="shared" si="138"/>
        <v>63958.834994264878</v>
      </c>
      <c r="QM60">
        <f t="shared" si="138"/>
        <v>64104.90898441062</v>
      </c>
      <c r="QN60">
        <f t="shared" si="138"/>
        <v>64250.998981373152</v>
      </c>
      <c r="QO60">
        <f t="shared" si="138"/>
        <v>64397.105023390854</v>
      </c>
      <c r="QP60">
        <f t="shared" si="138"/>
        <v>64543.227148718157</v>
      </c>
      <c r="QQ60">
        <f t="shared" si="138"/>
        <v>64689.365395625849</v>
      </c>
      <c r="QR60">
        <f t="shared" si="138"/>
        <v>64835.519802401075</v>
      </c>
      <c r="QS60">
        <f t="shared" si="138"/>
        <v>64981.690407347181</v>
      </c>
      <c r="QT60">
        <f t="shared" si="138"/>
        <v>65127.877248784083</v>
      </c>
      <c r="QU60">
        <f t="shared" si="138"/>
        <v>65274.080365047921</v>
      </c>
      <c r="QV60">
        <f t="shared" si="138"/>
        <v>65420.299794491431</v>
      </c>
      <c r="QW60">
        <f t="shared" si="138"/>
        <v>65566.535575483867</v>
      </c>
      <c r="QX60">
        <f t="shared" ref="QX60:TI60" si="139">SUM(QX48:QX57)</f>
        <v>65712.787746411079</v>
      </c>
      <c r="QY60">
        <f t="shared" si="139"/>
        <v>65859.05634567517</v>
      </c>
      <c r="QZ60">
        <f t="shared" si="139"/>
        <v>66005.341411695394</v>
      </c>
      <c r="RA60">
        <f t="shared" si="139"/>
        <v>66151.642982907346</v>
      </c>
      <c r="RB60">
        <f t="shared" si="139"/>
        <v>66297.961097763517</v>
      </c>
      <c r="RC60">
        <f t="shared" si="139"/>
        <v>66444.29579473284</v>
      </c>
      <c r="RD60">
        <f t="shared" si="139"/>
        <v>66590.647112301493</v>
      </c>
      <c r="RE60">
        <f t="shared" si="139"/>
        <v>66737.015088972214</v>
      </c>
      <c r="RF60">
        <f t="shared" si="139"/>
        <v>66883.399763264781</v>
      </c>
      <c r="RG60">
        <f t="shared" si="139"/>
        <v>67029.80117371559</v>
      </c>
      <c r="RH60">
        <f t="shared" si="139"/>
        <v>67176.219358878443</v>
      </c>
      <c r="RI60">
        <f t="shared" si="139"/>
        <v>67322.654357323903</v>
      </c>
      <c r="RJ60">
        <f t="shared" si="139"/>
        <v>67469.106207639677</v>
      </c>
      <c r="RK60">
        <f t="shared" si="139"/>
        <v>67615.574948430294</v>
      </c>
      <c r="RL60">
        <f t="shared" si="139"/>
        <v>67762.06061831789</v>
      </c>
      <c r="RM60">
        <f t="shared" si="139"/>
        <v>67908.563255941466</v>
      </c>
      <c r="RN60">
        <f t="shared" si="139"/>
        <v>68055.082899957386</v>
      </c>
      <c r="RO60">
        <f t="shared" si="139"/>
        <v>68201.619589038994</v>
      </c>
      <c r="RP60">
        <f t="shared" si="139"/>
        <v>68348.173361877387</v>
      </c>
      <c r="RQ60">
        <f t="shared" si="139"/>
        <v>68494.74425718066</v>
      </c>
      <c r="RR60">
        <f t="shared" si="139"/>
        <v>68641.332313674575</v>
      </c>
      <c r="RS60">
        <f t="shared" si="139"/>
        <v>68787.937570101931</v>
      </c>
      <c r="RT60">
        <f t="shared" si="139"/>
        <v>68934.560065223443</v>
      </c>
      <c r="RU60">
        <f t="shared" si="139"/>
        <v>69081.19983781717</v>
      </c>
      <c r="RV60">
        <f t="shared" si="139"/>
        <v>69227.856926678563</v>
      </c>
      <c r="RW60">
        <f t="shared" si="139"/>
        <v>69374.531370620869</v>
      </c>
      <c r="RX60">
        <f t="shared" si="139"/>
        <v>69521.223208474956</v>
      </c>
      <c r="RY60">
        <f t="shared" si="139"/>
        <v>69667.93247908949</v>
      </c>
      <c r="RZ60">
        <f t="shared" si="139"/>
        <v>69814.659221330556</v>
      </c>
      <c r="SA60">
        <f t="shared" si="139"/>
        <v>69961.403474082268</v>
      </c>
      <c r="SB60">
        <f t="shared" si="139"/>
        <v>70108.165276246451</v>
      </c>
      <c r="SC60">
        <f t="shared" si="139"/>
        <v>70254.944666743017</v>
      </c>
      <c r="SD60">
        <f t="shared" si="139"/>
        <v>70401.741684509354</v>
      </c>
      <c r="SE60">
        <f t="shared" si="139"/>
        <v>70548.556368501129</v>
      </c>
      <c r="SF60">
        <f t="shared" si="139"/>
        <v>70695.388757691821</v>
      </c>
      <c r="SG60">
        <f t="shared" si="139"/>
        <v>70842.23889107327</v>
      </c>
      <c r="SH60">
        <f t="shared" si="139"/>
        <v>70989.10680765484</v>
      </c>
      <c r="SI60">
        <f t="shared" si="139"/>
        <v>71135.992546464462</v>
      </c>
      <c r="SJ60">
        <f t="shared" si="139"/>
        <v>71282.896146547981</v>
      </c>
      <c r="SK60">
        <f t="shared" si="139"/>
        <v>71429.81764696975</v>
      </c>
      <c r="SL60">
        <f t="shared" si="139"/>
        <v>71576.757086811922</v>
      </c>
      <c r="SM60">
        <f t="shared" si="139"/>
        <v>71723.714505175289</v>
      </c>
      <c r="SN60">
        <f t="shared" si="139"/>
        <v>71870.68994117876</v>
      </c>
      <c r="SO60">
        <f t="shared" si="139"/>
        <v>72017.683433959872</v>
      </c>
      <c r="SP60">
        <f t="shared" si="139"/>
        <v>72164.69502267435</v>
      </c>
      <c r="SQ60">
        <f t="shared" si="139"/>
        <v>72311.724746496475</v>
      </c>
      <c r="SR60">
        <f t="shared" si="139"/>
        <v>72458.77264461905</v>
      </c>
      <c r="SS60">
        <f t="shared" si="139"/>
        <v>72605.838756253317</v>
      </c>
      <c r="ST60">
        <f t="shared" si="139"/>
        <v>72752.923120629246</v>
      </c>
      <c r="SU60">
        <f t="shared" si="139"/>
        <v>72900.025776995375</v>
      </c>
      <c r="SV60">
        <f t="shared" si="139"/>
        <v>73047.146764618956</v>
      </c>
      <c r="SW60">
        <f t="shared" si="139"/>
        <v>73194.28612278591</v>
      </c>
      <c r="SX60">
        <f t="shared" si="139"/>
        <v>73341.443890800932</v>
      </c>
      <c r="SY60">
        <f t="shared" si="139"/>
        <v>73488.620107987605</v>
      </c>
      <c r="SZ60">
        <f t="shared" si="139"/>
        <v>73635.814813688281</v>
      </c>
      <c r="TA60">
        <f t="shared" si="139"/>
        <v>73783.028047264233</v>
      </c>
      <c r="TB60">
        <f t="shared" si="139"/>
        <v>73930.259848095695</v>
      </c>
      <c r="TC60">
        <f t="shared" si="139"/>
        <v>74077.510255581845</v>
      </c>
      <c r="TD60">
        <f t="shared" si="139"/>
        <v>74224.779309140969</v>
      </c>
      <c r="TE60">
        <f t="shared" si="139"/>
        <v>74372.067048210331</v>
      </c>
      <c r="TF60">
        <f t="shared" si="139"/>
        <v>74519.373512246355</v>
      </c>
      <c r="TG60">
        <f t="shared" si="139"/>
        <v>74666.698740724649</v>
      </c>
      <c r="TH60">
        <f t="shared" si="139"/>
        <v>74814.042773139969</v>
      </c>
      <c r="TI60">
        <f t="shared" si="139"/>
        <v>74961.405649006367</v>
      </c>
      <c r="TJ60">
        <f t="shared" ref="TJ60:VU60" si="140">SUM(TJ48:TJ57)</f>
        <v>75108.787407857177</v>
      </c>
      <c r="TK60">
        <f t="shared" si="140"/>
        <v>75256.188089245043</v>
      </c>
      <c r="TL60">
        <f t="shared" si="140"/>
        <v>75403.607732742035</v>
      </c>
      <c r="TM60">
        <f t="shared" si="140"/>
        <v>75551.046377939609</v>
      </c>
      <c r="TN60">
        <f t="shared" si="140"/>
        <v>75698.504064448716</v>
      </c>
      <c r="TO60">
        <f t="shared" si="140"/>
        <v>75845.980831899797</v>
      </c>
      <c r="TP60">
        <f t="shared" si="140"/>
        <v>75993.476719942875</v>
      </c>
      <c r="TQ60">
        <f t="shared" si="140"/>
        <v>76140.991768247593</v>
      </c>
      <c r="TR60">
        <f t="shared" si="140"/>
        <v>76288.526016503136</v>
      </c>
      <c r="TS60">
        <f t="shared" si="140"/>
        <v>76436.079504418522</v>
      </c>
      <c r="TT60">
        <f t="shared" si="140"/>
        <v>76583.652271722414</v>
      </c>
      <c r="TU60">
        <f t="shared" si="140"/>
        <v>76731.244358163283</v>
      </c>
      <c r="TV60">
        <f t="shared" si="140"/>
        <v>76878.855803509417</v>
      </c>
      <c r="TW60">
        <f t="shared" si="140"/>
        <v>77026.486647549027</v>
      </c>
      <c r="TX60">
        <f t="shared" si="140"/>
        <v>77174.136930090113</v>
      </c>
      <c r="TY60">
        <f t="shared" si="140"/>
        <v>77321.806690960773</v>
      </c>
      <c r="TZ60">
        <f t="shared" si="140"/>
        <v>77469.495970008997</v>
      </c>
      <c r="UA60">
        <f t="shared" si="140"/>
        <v>77617.204807102942</v>
      </c>
      <c r="UB60">
        <f t="shared" si="140"/>
        <v>77764.933242130704</v>
      </c>
      <c r="UC60">
        <f t="shared" si="140"/>
        <v>77912.681315000722</v>
      </c>
      <c r="UD60">
        <f t="shared" si="140"/>
        <v>78060.449065641384</v>
      </c>
      <c r="UE60">
        <f t="shared" si="140"/>
        <v>78208.236534001466</v>
      </c>
      <c r="UF60">
        <f t="shared" si="140"/>
        <v>78356.043760049986</v>
      </c>
      <c r="UG60">
        <f t="shared" si="140"/>
        <v>78503.870783776278</v>
      </c>
      <c r="UH60">
        <f t="shared" si="140"/>
        <v>78651.717645190001</v>
      </c>
      <c r="UI60">
        <f t="shared" si="140"/>
        <v>78799.584384321264</v>
      </c>
      <c r="UJ60">
        <f t="shared" si="140"/>
        <v>78947.471041220633</v>
      </c>
      <c r="UK60">
        <f t="shared" si="140"/>
        <v>79095.377655959135</v>
      </c>
      <c r="UL60">
        <f t="shared" si="140"/>
        <v>79243.304268628388</v>
      </c>
      <c r="UM60">
        <f t="shared" si="140"/>
        <v>79391.250919340571</v>
      </c>
      <c r="UN60">
        <f t="shared" si="140"/>
        <v>79539.217648228499</v>
      </c>
      <c r="UO60">
        <f t="shared" si="140"/>
        <v>79687.204495445665</v>
      </c>
      <c r="UP60">
        <f t="shared" si="140"/>
        <v>79835.211501166341</v>
      </c>
      <c r="UQ60">
        <f t="shared" si="140"/>
        <v>79983.238705585507</v>
      </c>
      <c r="UR60">
        <f t="shared" si="140"/>
        <v>80131.286148918938</v>
      </c>
      <c r="US60">
        <f t="shared" si="140"/>
        <v>80279.353871403378</v>
      </c>
      <c r="UT60">
        <f t="shared" si="140"/>
        <v>80427.441913296396</v>
      </c>
      <c r="UU60">
        <f t="shared" si="140"/>
        <v>80575.550314876542</v>
      </c>
      <c r="UV60">
        <f t="shared" si="140"/>
        <v>80723.679116443309</v>
      </c>
      <c r="UW60">
        <f t="shared" si="140"/>
        <v>80871.828358317376</v>
      </c>
      <c r="UX60">
        <f t="shared" si="140"/>
        <v>81019.998080840393</v>
      </c>
      <c r="UY60">
        <f t="shared" si="140"/>
        <v>81168.188324375151</v>
      </c>
      <c r="UZ60">
        <f t="shared" si="140"/>
        <v>81316.39912930569</v>
      </c>
      <c r="VA60">
        <f t="shared" si="140"/>
        <v>81464.630536037235</v>
      </c>
      <c r="VB60">
        <f t="shared" si="140"/>
        <v>81612.882584996332</v>
      </c>
      <c r="VC60">
        <f t="shared" si="140"/>
        <v>81761.155316630757</v>
      </c>
      <c r="VD60">
        <f t="shared" si="140"/>
        <v>81909.448771409749</v>
      </c>
      <c r="VE60">
        <f t="shared" si="140"/>
        <v>82057.76298982391</v>
      </c>
      <c r="VF60">
        <f t="shared" si="140"/>
        <v>82206.098012385381</v>
      </c>
      <c r="VG60">
        <f t="shared" si="140"/>
        <v>82354.453879627661</v>
      </c>
      <c r="VH60">
        <f t="shared" si="140"/>
        <v>82502.830632105935</v>
      </c>
      <c r="VI60">
        <f t="shared" si="140"/>
        <v>82651.228310396924</v>
      </c>
      <c r="VJ60">
        <f t="shared" si="140"/>
        <v>82799.646955099059</v>
      </c>
      <c r="VK60">
        <f t="shared" si="140"/>
        <v>82948.086606832338</v>
      </c>
      <c r="VL60">
        <f t="shared" si="140"/>
        <v>83096.547306238688</v>
      </c>
      <c r="VM60">
        <f t="shared" si="140"/>
        <v>83245.029093981648</v>
      </c>
      <c r="VN60">
        <f t="shared" si="140"/>
        <v>83393.53201074664</v>
      </c>
      <c r="VO60">
        <f t="shared" si="140"/>
        <v>83542.056097241031</v>
      </c>
      <c r="VP60">
        <f t="shared" si="140"/>
        <v>83690.601394194004</v>
      </c>
      <c r="VQ60">
        <f t="shared" si="140"/>
        <v>83839.167942356828</v>
      </c>
      <c r="VR60">
        <f t="shared" si="140"/>
        <v>83987.755782502732</v>
      </c>
      <c r="VS60">
        <f t="shared" si="140"/>
        <v>84136.364955427023</v>
      </c>
      <c r="VT60">
        <f t="shared" si="140"/>
        <v>84284.995501947065</v>
      </c>
      <c r="VU60">
        <f t="shared" si="140"/>
        <v>84433.647462902518</v>
      </c>
      <c r="VV60">
        <f t="shared" ref="VV60:WN60" si="141">SUM(VV48:VV57)</f>
        <v>84582.320879155101</v>
      </c>
      <c r="VW60">
        <f t="shared" si="141"/>
        <v>84731.01579158887</v>
      </c>
      <c r="VX60">
        <f t="shared" si="141"/>
        <v>84879.732241110178</v>
      </c>
      <c r="VY60">
        <f t="shared" si="141"/>
        <v>85028.470268647725</v>
      </c>
      <c r="VZ60">
        <f t="shared" si="141"/>
        <v>85177.229915152566</v>
      </c>
      <c r="WA60">
        <f t="shared" si="141"/>
        <v>85326.011221598281</v>
      </c>
      <c r="WB60">
        <f t="shared" si="141"/>
        <v>85474.814228980831</v>
      </c>
      <c r="WC60">
        <f t="shared" si="141"/>
        <v>85623.638978318821</v>
      </c>
      <c r="WD60">
        <f t="shared" si="141"/>
        <v>85772.48551065338</v>
      </c>
      <c r="WE60">
        <f t="shared" si="141"/>
        <v>85921.353867048296</v>
      </c>
      <c r="WF60">
        <f t="shared" si="141"/>
        <v>86070.244088590029</v>
      </c>
      <c r="WG60">
        <f t="shared" si="141"/>
        <v>86219.156216387739</v>
      </c>
      <c r="WH60">
        <f t="shared" si="141"/>
        <v>86368.090291573419</v>
      </c>
      <c r="WI60">
        <f t="shared" si="141"/>
        <v>86517.046355301864</v>
      </c>
      <c r="WJ60">
        <f t="shared" si="141"/>
        <v>86666.02444875073</v>
      </c>
      <c r="WK60">
        <f t="shared" si="141"/>
        <v>86815.024613120564</v>
      </c>
      <c r="WL60">
        <f t="shared" si="141"/>
        <v>86964.046889634948</v>
      </c>
      <c r="WM60">
        <f t="shared" si="141"/>
        <v>87113.091319540428</v>
      </c>
      <c r="WN60">
        <f t="shared" si="141"/>
        <v>87262.157944106657</v>
      </c>
    </row>
    <row r="61" spans="2:612" x14ac:dyDescent="0.25">
      <c r="K61">
        <f>K60-J60</f>
        <v>142.56990596595955</v>
      </c>
      <c r="L61">
        <f t="shared" ref="L61:BW61" si="142">L60-K60</f>
        <v>142.56997545283355</v>
      </c>
      <c r="M61">
        <f t="shared" si="142"/>
        <v>142.57007968322944</v>
      </c>
      <c r="N61">
        <f t="shared" si="142"/>
        <v>142.57021865724869</v>
      </c>
      <c r="O61">
        <f t="shared" si="142"/>
        <v>142.57039237502613</v>
      </c>
      <c r="P61">
        <f t="shared" si="142"/>
        <v>142.57060083673241</v>
      </c>
      <c r="Q61">
        <f t="shared" si="142"/>
        <v>142.57084404256966</v>
      </c>
      <c r="R61">
        <f t="shared" si="142"/>
        <v>142.57112199277503</v>
      </c>
      <c r="S61">
        <f t="shared" si="142"/>
        <v>142.57143468762024</v>
      </c>
      <c r="T61">
        <f t="shared" si="142"/>
        <v>142.57178212740973</v>
      </c>
      <c r="U61">
        <f t="shared" si="142"/>
        <v>142.57216431248162</v>
      </c>
      <c r="V61">
        <f t="shared" si="142"/>
        <v>142.57258124320924</v>
      </c>
      <c r="W61">
        <f t="shared" si="142"/>
        <v>142.57303291999801</v>
      </c>
      <c r="X61">
        <f t="shared" si="142"/>
        <v>142.57351934328904</v>
      </c>
      <c r="Y61">
        <f t="shared" si="142"/>
        <v>142.57404051355707</v>
      </c>
      <c r="Z61">
        <f t="shared" si="142"/>
        <v>142.57459643130869</v>
      </c>
      <c r="AA61">
        <f t="shared" si="142"/>
        <v>142.57518709708665</v>
      </c>
      <c r="AB61">
        <f t="shared" si="142"/>
        <v>142.57581251146757</v>
      </c>
      <c r="AC61">
        <f t="shared" si="142"/>
        <v>142.57647267505808</v>
      </c>
      <c r="AD61">
        <f t="shared" si="142"/>
        <v>142.5771675885062</v>
      </c>
      <c r="AE61">
        <f t="shared" si="142"/>
        <v>142.57789725248585</v>
      </c>
      <c r="AF61">
        <f t="shared" si="142"/>
        <v>142.57866166771009</v>
      </c>
      <c r="AG61">
        <f t="shared" si="142"/>
        <v>142.57946083492197</v>
      </c>
      <c r="AH61">
        <f t="shared" si="142"/>
        <v>142.58029475490457</v>
      </c>
      <c r="AI61">
        <f t="shared" si="142"/>
        <v>142.58116342846733</v>
      </c>
      <c r="AJ61">
        <f t="shared" si="142"/>
        <v>142.58206685645746</v>
      </c>
      <c r="AK61">
        <f t="shared" si="142"/>
        <v>142.58300503975715</v>
      </c>
      <c r="AL61">
        <f t="shared" si="142"/>
        <v>142.58397797927955</v>
      </c>
      <c r="AM61">
        <f t="shared" si="142"/>
        <v>142.58498567597508</v>
      </c>
      <c r="AN61">
        <f t="shared" si="142"/>
        <v>142.58602813082507</v>
      </c>
      <c r="AO61">
        <f t="shared" si="142"/>
        <v>142.58710534484635</v>
      </c>
      <c r="AP61">
        <f t="shared" si="142"/>
        <v>142.58821731908665</v>
      </c>
      <c r="AQ61">
        <f t="shared" si="142"/>
        <v>142.58936405463555</v>
      </c>
      <c r="AR61">
        <f t="shared" si="142"/>
        <v>142.59054555260263</v>
      </c>
      <c r="AS61">
        <f t="shared" si="142"/>
        <v>142.5917618141475</v>
      </c>
      <c r="AT61">
        <f t="shared" si="142"/>
        <v>142.59301284045614</v>
      </c>
      <c r="AU61">
        <f t="shared" si="142"/>
        <v>142.59429863274181</v>
      </c>
      <c r="AV61">
        <f t="shared" si="142"/>
        <v>142.59561919226326</v>
      </c>
      <c r="AW61">
        <f t="shared" si="142"/>
        <v>142.59697452030559</v>
      </c>
      <c r="AX61">
        <f t="shared" si="142"/>
        <v>142.59836461819214</v>
      </c>
      <c r="AY61">
        <f t="shared" si="142"/>
        <v>142.59978948727894</v>
      </c>
      <c r="AZ61">
        <f t="shared" si="142"/>
        <v>142.60124912895208</v>
      </c>
      <c r="BA61">
        <f t="shared" si="142"/>
        <v>142.60274354463854</v>
      </c>
      <c r="BB61">
        <f t="shared" si="142"/>
        <v>142.60427273579262</v>
      </c>
      <c r="BC61">
        <f t="shared" si="142"/>
        <v>142.60583670390588</v>
      </c>
      <c r="BD61">
        <f t="shared" si="142"/>
        <v>142.60743545050445</v>
      </c>
      <c r="BE61">
        <f t="shared" si="142"/>
        <v>142.60906897715086</v>
      </c>
      <c r="BF61">
        <f t="shared" si="142"/>
        <v>142.61073728542942</v>
      </c>
      <c r="BG61">
        <f t="shared" si="142"/>
        <v>142.61244037697361</v>
      </c>
      <c r="BH61">
        <f t="shared" si="142"/>
        <v>142.61417825344233</v>
      </c>
      <c r="BI61">
        <f t="shared" si="142"/>
        <v>142.6159509165318</v>
      </c>
      <c r="BJ61">
        <f t="shared" si="142"/>
        <v>142.61775836796824</v>
      </c>
      <c r="BK61">
        <f t="shared" si="142"/>
        <v>142.61960060951787</v>
      </c>
      <c r="BL61">
        <f t="shared" si="142"/>
        <v>142.62147764297242</v>
      </c>
      <c r="BM61">
        <f t="shared" si="142"/>
        <v>142.62338947016724</v>
      </c>
      <c r="BN61">
        <f t="shared" si="142"/>
        <v>142.62533609296315</v>
      </c>
      <c r="BO61">
        <f t="shared" si="142"/>
        <v>142.62731751326464</v>
      </c>
      <c r="BP61">
        <f t="shared" si="142"/>
        <v>142.62933373299711</v>
      </c>
      <c r="BQ61">
        <f t="shared" si="142"/>
        <v>142.63138475413143</v>
      </c>
      <c r="BR61">
        <f t="shared" si="142"/>
        <v>142.63347057867031</v>
      </c>
      <c r="BS61">
        <f t="shared" si="142"/>
        <v>142.63559120863465</v>
      </c>
      <c r="BT61">
        <f t="shared" si="142"/>
        <v>142.63774664611628</v>
      </c>
      <c r="BU61">
        <f t="shared" si="142"/>
        <v>142.63993689320159</v>
      </c>
      <c r="BV61">
        <f t="shared" si="142"/>
        <v>142.64216195202425</v>
      </c>
      <c r="BW61">
        <f t="shared" si="142"/>
        <v>142.64442182476523</v>
      </c>
      <c r="BX61">
        <f t="shared" ref="BX61:EI61" si="143">BX60-BW60</f>
        <v>142.64671651362914</v>
      </c>
      <c r="BY61">
        <f t="shared" si="143"/>
        <v>142.64904602084607</v>
      </c>
      <c r="BZ61">
        <f t="shared" si="143"/>
        <v>142.65141034868793</v>
      </c>
      <c r="CA61">
        <f t="shared" si="143"/>
        <v>142.65380949947576</v>
      </c>
      <c r="CB61">
        <f t="shared" si="143"/>
        <v>142.65624347553603</v>
      </c>
      <c r="CC61">
        <f t="shared" si="143"/>
        <v>142.65871227924981</v>
      </c>
      <c r="CD61">
        <f t="shared" si="143"/>
        <v>142.66121591302181</v>
      </c>
      <c r="CE61">
        <f t="shared" si="143"/>
        <v>142.66375437929855</v>
      </c>
      <c r="CF61">
        <f t="shared" si="143"/>
        <v>142.66632768056115</v>
      </c>
      <c r="CG61">
        <f t="shared" si="143"/>
        <v>142.66893581930344</v>
      </c>
      <c r="CH61">
        <f t="shared" si="143"/>
        <v>142.6715787980902</v>
      </c>
      <c r="CI61">
        <f t="shared" si="143"/>
        <v>142.67425661949346</v>
      </c>
      <c r="CJ61">
        <f t="shared" si="143"/>
        <v>142.67696928611804</v>
      </c>
      <c r="CK61">
        <f t="shared" si="143"/>
        <v>142.6797168006251</v>
      </c>
      <c r="CL61">
        <f t="shared" si="143"/>
        <v>142.68249916568493</v>
      </c>
      <c r="CM61">
        <f t="shared" si="143"/>
        <v>142.6853163840151</v>
      </c>
      <c r="CN61">
        <f t="shared" si="143"/>
        <v>142.68816845837318</v>
      </c>
      <c r="CO61">
        <f t="shared" si="143"/>
        <v>142.69105539153497</v>
      </c>
      <c r="CP61">
        <f t="shared" si="143"/>
        <v>142.69397718631626</v>
      </c>
      <c r="CQ61">
        <f t="shared" si="143"/>
        <v>142.69693384557104</v>
      </c>
      <c r="CR61">
        <f t="shared" si="143"/>
        <v>142.69992537218786</v>
      </c>
      <c r="CS61">
        <f t="shared" si="143"/>
        <v>142.70295176909167</v>
      </c>
      <c r="CT61">
        <f t="shared" si="143"/>
        <v>142.70601303922194</v>
      </c>
      <c r="CU61">
        <f t="shared" si="143"/>
        <v>142.70910918557638</v>
      </c>
      <c r="CV61">
        <f t="shared" si="143"/>
        <v>142.71224021117814</v>
      </c>
      <c r="CW61">
        <f t="shared" si="143"/>
        <v>142.71540611908313</v>
      </c>
      <c r="CX61">
        <f t="shared" si="143"/>
        <v>142.71860691237453</v>
      </c>
      <c r="CY61">
        <f t="shared" si="143"/>
        <v>142.72184259419009</v>
      </c>
      <c r="CZ61">
        <f t="shared" si="143"/>
        <v>142.72511316768396</v>
      </c>
      <c r="DA61">
        <f t="shared" si="143"/>
        <v>142.72841863603753</v>
      </c>
      <c r="DB61">
        <f t="shared" si="143"/>
        <v>142.73175900249771</v>
      </c>
      <c r="DC61">
        <f t="shared" si="143"/>
        <v>142.73513427031503</v>
      </c>
      <c r="DD61">
        <f t="shared" si="143"/>
        <v>142.7385444427855</v>
      </c>
      <c r="DE61">
        <f t="shared" si="143"/>
        <v>142.74198952323422</v>
      </c>
      <c r="DF61">
        <f t="shared" si="143"/>
        <v>142.74546951504817</v>
      </c>
      <c r="DG61">
        <f t="shared" si="143"/>
        <v>142.74898442158883</v>
      </c>
      <c r="DH61">
        <f t="shared" si="143"/>
        <v>142.75253424632501</v>
      </c>
      <c r="DI61">
        <f t="shared" si="143"/>
        <v>142.75611899270189</v>
      </c>
      <c r="DJ61">
        <f t="shared" si="143"/>
        <v>142.75973866422828</v>
      </c>
      <c r="DK61">
        <f t="shared" si="143"/>
        <v>142.76339326443667</v>
      </c>
      <c r="DL61">
        <f t="shared" si="143"/>
        <v>142.76708279689592</v>
      </c>
      <c r="DM61">
        <f t="shared" si="143"/>
        <v>142.77080726521854</v>
      </c>
      <c r="DN61">
        <f t="shared" si="143"/>
        <v>142.77456667302613</v>
      </c>
      <c r="DO61">
        <f t="shared" si="143"/>
        <v>142.77836102401125</v>
      </c>
      <c r="DP61">
        <f t="shared" si="143"/>
        <v>142.78219032186098</v>
      </c>
      <c r="DQ61">
        <f t="shared" si="143"/>
        <v>142.78605457032972</v>
      </c>
      <c r="DR61">
        <f t="shared" si="143"/>
        <v>142.78995377318643</v>
      </c>
      <c r="DS61">
        <f t="shared" si="143"/>
        <v>142.79388793424187</v>
      </c>
      <c r="DT61">
        <f t="shared" si="143"/>
        <v>142.79785705735958</v>
      </c>
      <c r="DU61">
        <f t="shared" si="143"/>
        <v>142.80186114637036</v>
      </c>
      <c r="DV61">
        <f t="shared" si="143"/>
        <v>142.80590020523232</v>
      </c>
      <c r="DW61">
        <f t="shared" si="143"/>
        <v>142.80997423786903</v>
      </c>
      <c r="DX61">
        <f t="shared" si="143"/>
        <v>142.81408324827498</v>
      </c>
      <c r="DY61">
        <f t="shared" si="143"/>
        <v>142.81822724045196</v>
      </c>
      <c r="DZ61">
        <f t="shared" si="143"/>
        <v>142.82240621845995</v>
      </c>
      <c r="EA61">
        <f t="shared" si="143"/>
        <v>142.82662018637348</v>
      </c>
      <c r="EB61">
        <f t="shared" si="143"/>
        <v>142.83086914833257</v>
      </c>
      <c r="EC61">
        <f t="shared" si="143"/>
        <v>142.83515310846269</v>
      </c>
      <c r="ED61">
        <f t="shared" si="143"/>
        <v>142.83947207096935</v>
      </c>
      <c r="EE61">
        <f t="shared" si="143"/>
        <v>142.8438260400726</v>
      </c>
      <c r="EF61">
        <f t="shared" si="143"/>
        <v>142.84821502001796</v>
      </c>
      <c r="EG61">
        <f t="shared" si="143"/>
        <v>142.85263901510552</v>
      </c>
      <c r="EH61">
        <f t="shared" si="143"/>
        <v>142.85709802965721</v>
      </c>
      <c r="EI61">
        <f t="shared" si="143"/>
        <v>142.86159206804223</v>
      </c>
      <c r="EJ61">
        <f t="shared" ref="EJ61:GU61" si="144">EJ60-EI60</f>
        <v>142.86612113463707</v>
      </c>
      <c r="EK61">
        <f t="shared" si="144"/>
        <v>142.87068523388371</v>
      </c>
      <c r="EL61">
        <f t="shared" si="144"/>
        <v>142.87528437023866</v>
      </c>
      <c r="EM61">
        <f t="shared" si="144"/>
        <v>142.87991854820575</v>
      </c>
      <c r="EN61">
        <f t="shared" si="144"/>
        <v>142.88458777230335</v>
      </c>
      <c r="EO61">
        <f t="shared" si="144"/>
        <v>142.88929204711894</v>
      </c>
      <c r="EP61">
        <f t="shared" si="144"/>
        <v>142.89403137723275</v>
      </c>
      <c r="EQ61">
        <f t="shared" si="144"/>
        <v>142.89880576729047</v>
      </c>
      <c r="ER61">
        <f t="shared" si="144"/>
        <v>142.9036152219669</v>
      </c>
      <c r="ES61">
        <f t="shared" si="144"/>
        <v>142.90845974595504</v>
      </c>
      <c r="ET61">
        <f t="shared" si="144"/>
        <v>142.91333934399518</v>
      </c>
      <c r="EU61">
        <f t="shared" si="144"/>
        <v>142.91825402087125</v>
      </c>
      <c r="EV61">
        <f t="shared" si="144"/>
        <v>142.92320378138174</v>
      </c>
      <c r="EW61">
        <f t="shared" si="144"/>
        <v>142.92818863037246</v>
      </c>
      <c r="EX61">
        <f t="shared" si="144"/>
        <v>142.93320857273648</v>
      </c>
      <c r="EY61">
        <f t="shared" si="144"/>
        <v>142.93826361333413</v>
      </c>
      <c r="EZ61">
        <f t="shared" si="144"/>
        <v>142.94335375718219</v>
      </c>
      <c r="FA61">
        <f t="shared" si="144"/>
        <v>142.94847900921377</v>
      </c>
      <c r="FB61">
        <f t="shared" si="144"/>
        <v>142.95363937445654</v>
      </c>
      <c r="FC61">
        <f t="shared" si="144"/>
        <v>142.95883485797094</v>
      </c>
      <c r="FD61">
        <f t="shared" si="144"/>
        <v>142.96406546482467</v>
      </c>
      <c r="FE61">
        <f t="shared" si="144"/>
        <v>142.96933120015092</v>
      </c>
      <c r="FF61">
        <f t="shared" si="144"/>
        <v>142.97463206909379</v>
      </c>
      <c r="FG61">
        <f t="shared" si="144"/>
        <v>142.97996807685922</v>
      </c>
      <c r="FH61">
        <f t="shared" si="144"/>
        <v>142.98533922864954</v>
      </c>
      <c r="FI61">
        <f t="shared" si="144"/>
        <v>142.9907455297398</v>
      </c>
      <c r="FJ61">
        <f t="shared" si="144"/>
        <v>142.99618698541235</v>
      </c>
      <c r="FK61">
        <f t="shared" si="144"/>
        <v>143.00166360100047</v>
      </c>
      <c r="FL61">
        <f t="shared" si="144"/>
        <v>143.00717538187018</v>
      </c>
      <c r="FM61">
        <f t="shared" si="144"/>
        <v>143.01272233340205</v>
      </c>
      <c r="FN61">
        <f t="shared" si="144"/>
        <v>143.01830446105305</v>
      </c>
      <c r="FO61">
        <f t="shared" si="144"/>
        <v>143.02392177027286</v>
      </c>
      <c r="FP61">
        <f t="shared" si="144"/>
        <v>143.02957426656576</v>
      </c>
      <c r="FQ61">
        <f t="shared" si="144"/>
        <v>143.03526195547238</v>
      </c>
      <c r="FR61">
        <f t="shared" si="144"/>
        <v>143.04098484256247</v>
      </c>
      <c r="FS61">
        <f t="shared" si="144"/>
        <v>143.04674293343487</v>
      </c>
      <c r="FT61">
        <f t="shared" si="144"/>
        <v>143.05253623374301</v>
      </c>
      <c r="FU61">
        <f t="shared" si="144"/>
        <v>143.05836474915486</v>
      </c>
      <c r="FV61">
        <f t="shared" si="144"/>
        <v>143.06422848538568</v>
      </c>
      <c r="FW61">
        <f t="shared" si="144"/>
        <v>143.07012744816166</v>
      </c>
      <c r="FX61">
        <f t="shared" si="144"/>
        <v>143.07606164329991</v>
      </c>
      <c r="FY61">
        <f t="shared" si="144"/>
        <v>143.08203107658119</v>
      </c>
      <c r="FZ61">
        <f t="shared" si="144"/>
        <v>143.08803575387356</v>
      </c>
      <c r="GA61">
        <f t="shared" si="144"/>
        <v>143.09407568105598</v>
      </c>
      <c r="GB61">
        <f t="shared" si="144"/>
        <v>143.10015086405474</v>
      </c>
      <c r="GC61">
        <f t="shared" si="144"/>
        <v>143.10626130880701</v>
      </c>
      <c r="GD61">
        <f t="shared" si="144"/>
        <v>143.11240702132636</v>
      </c>
      <c r="GE61">
        <f t="shared" si="144"/>
        <v>143.11858800761547</v>
      </c>
      <c r="GF61">
        <f t="shared" si="144"/>
        <v>143.1248042737534</v>
      </c>
      <c r="GG61">
        <f t="shared" si="144"/>
        <v>143.13105582583012</v>
      </c>
      <c r="GH61">
        <f t="shared" si="144"/>
        <v>143.13734266995743</v>
      </c>
      <c r="GI61">
        <f t="shared" si="144"/>
        <v>143.14366481232355</v>
      </c>
      <c r="GJ61">
        <f t="shared" si="144"/>
        <v>143.15002225910939</v>
      </c>
      <c r="GK61">
        <f t="shared" si="144"/>
        <v>143.15641501657592</v>
      </c>
      <c r="GL61">
        <f t="shared" si="144"/>
        <v>143.16284309096227</v>
      </c>
      <c r="GM61">
        <f t="shared" si="144"/>
        <v>143.16930648858033</v>
      </c>
      <c r="GN61">
        <f t="shared" si="144"/>
        <v>143.17580521579293</v>
      </c>
      <c r="GO61">
        <f t="shared" si="144"/>
        <v>143.18233927894835</v>
      </c>
      <c r="GP61">
        <f t="shared" si="144"/>
        <v>143.18890868446033</v>
      </c>
      <c r="GQ61">
        <f t="shared" si="144"/>
        <v>143.19551343879721</v>
      </c>
      <c r="GR61">
        <f t="shared" si="144"/>
        <v>143.20215354841275</v>
      </c>
      <c r="GS61">
        <f t="shared" si="144"/>
        <v>143.20882901982259</v>
      </c>
      <c r="GT61">
        <f t="shared" si="144"/>
        <v>143.21553985961145</v>
      </c>
      <c r="GU61">
        <f t="shared" si="144"/>
        <v>143.22228607431316</v>
      </c>
      <c r="GV61">
        <f t="shared" ref="GV61:JG61" si="145">GV60-GU60</f>
        <v>143.22906767059612</v>
      </c>
      <c r="GW61">
        <f t="shared" si="145"/>
        <v>143.2358846550851</v>
      </c>
      <c r="GX61">
        <f t="shared" si="145"/>
        <v>143.24273703449217</v>
      </c>
      <c r="GY61">
        <f t="shared" si="145"/>
        <v>143.24962481551847</v>
      </c>
      <c r="GZ61">
        <f t="shared" si="145"/>
        <v>143.25654800495977</v>
      </c>
      <c r="HA61">
        <f t="shared" si="145"/>
        <v>143.26350660958633</v>
      </c>
      <c r="HB61">
        <f t="shared" si="145"/>
        <v>143.27050063623392</v>
      </c>
      <c r="HC61">
        <f t="shared" si="145"/>
        <v>143.27753009180014</v>
      </c>
      <c r="HD61">
        <f t="shared" si="145"/>
        <v>143.28459498312441</v>
      </c>
      <c r="HE61">
        <f t="shared" si="145"/>
        <v>143.29169531721709</v>
      </c>
      <c r="HF61">
        <f t="shared" si="145"/>
        <v>143.29883110099399</v>
      </c>
      <c r="HG61">
        <f t="shared" si="145"/>
        <v>143.30600234151643</v>
      </c>
      <c r="HH61">
        <f t="shared" si="145"/>
        <v>143.31320904577296</v>
      </c>
      <c r="HI61">
        <f t="shared" si="145"/>
        <v>143.32045122088675</v>
      </c>
      <c r="HJ61">
        <f t="shared" si="145"/>
        <v>143.32772887394822</v>
      </c>
      <c r="HK61">
        <f t="shared" si="145"/>
        <v>143.33504201212781</v>
      </c>
      <c r="HL61">
        <f t="shared" si="145"/>
        <v>143.34239064258873</v>
      </c>
      <c r="HM61">
        <f t="shared" si="145"/>
        <v>143.34977477257053</v>
      </c>
      <c r="HN61">
        <f t="shared" si="145"/>
        <v>143.35719440931643</v>
      </c>
      <c r="HO61">
        <f t="shared" si="145"/>
        <v>143.36464956013515</v>
      </c>
      <c r="HP61">
        <f t="shared" si="145"/>
        <v>143.37214023232809</v>
      </c>
      <c r="HQ61">
        <f t="shared" si="145"/>
        <v>143.37966643328036</v>
      </c>
      <c r="HR61">
        <f t="shared" si="145"/>
        <v>143.38722817039525</v>
      </c>
      <c r="HS61">
        <f t="shared" si="145"/>
        <v>143.39482545109786</v>
      </c>
      <c r="HT61">
        <f t="shared" si="145"/>
        <v>143.40245828283514</v>
      </c>
      <c r="HU61">
        <f t="shared" si="145"/>
        <v>143.41012667314499</v>
      </c>
      <c r="HV61">
        <f t="shared" si="145"/>
        <v>143.41783062955074</v>
      </c>
      <c r="HW61">
        <f t="shared" si="145"/>
        <v>143.42557015964849</v>
      </c>
      <c r="HX61">
        <f t="shared" si="145"/>
        <v>143.43334527100887</v>
      </c>
      <c r="HY61">
        <f t="shared" si="145"/>
        <v>143.44115597133714</v>
      </c>
      <c r="HZ61">
        <f t="shared" si="145"/>
        <v>143.44900226827303</v>
      </c>
      <c r="IA61">
        <f t="shared" si="145"/>
        <v>143.45688416953635</v>
      </c>
      <c r="IB61">
        <f t="shared" si="145"/>
        <v>143.46480168291964</v>
      </c>
      <c r="IC61">
        <f t="shared" si="145"/>
        <v>143.47275481615725</v>
      </c>
      <c r="ID61">
        <f t="shared" si="145"/>
        <v>143.48074357712903</v>
      </c>
      <c r="IE61">
        <f t="shared" si="145"/>
        <v>143.48876797365665</v>
      </c>
      <c r="IF61">
        <f t="shared" si="145"/>
        <v>143.49682801365998</v>
      </c>
      <c r="IG61">
        <f t="shared" si="145"/>
        <v>143.50492370506254</v>
      </c>
      <c r="IH61">
        <f t="shared" si="145"/>
        <v>143.51305505583878</v>
      </c>
      <c r="II61">
        <f t="shared" si="145"/>
        <v>143.5212220739777</v>
      </c>
      <c r="IJ61">
        <f t="shared" si="145"/>
        <v>143.52942476754106</v>
      </c>
      <c r="IK61">
        <f t="shared" si="145"/>
        <v>143.5376631445979</v>
      </c>
      <c r="IL61">
        <f t="shared" si="145"/>
        <v>143.54593721325364</v>
      </c>
      <c r="IM61">
        <f t="shared" si="145"/>
        <v>143.55424698165734</v>
      </c>
      <c r="IN61">
        <f t="shared" si="145"/>
        <v>143.56259245802357</v>
      </c>
      <c r="IO61">
        <f t="shared" si="145"/>
        <v>143.57097365048685</v>
      </c>
      <c r="IP61">
        <f t="shared" si="145"/>
        <v>143.5793905674218</v>
      </c>
      <c r="IQ61">
        <f t="shared" si="145"/>
        <v>143.58784321702115</v>
      </c>
      <c r="IR61">
        <f t="shared" si="145"/>
        <v>143.59633160765952</v>
      </c>
      <c r="IS61">
        <f t="shared" si="145"/>
        <v>143.60485574768973</v>
      </c>
      <c r="IT61">
        <f t="shared" si="145"/>
        <v>143.61341564550821</v>
      </c>
      <c r="IU61">
        <f t="shared" si="145"/>
        <v>143.62201130955509</v>
      </c>
      <c r="IV61">
        <f t="shared" si="145"/>
        <v>143.63064274829958</v>
      </c>
      <c r="IW61">
        <f t="shared" si="145"/>
        <v>143.63930997024727</v>
      </c>
      <c r="IX61">
        <f t="shared" si="145"/>
        <v>143.64801298395469</v>
      </c>
      <c r="IY61">
        <f t="shared" si="145"/>
        <v>143.65675179796381</v>
      </c>
      <c r="IZ61">
        <f t="shared" si="145"/>
        <v>143.6655264209403</v>
      </c>
      <c r="JA61">
        <f t="shared" si="145"/>
        <v>143.67433686149889</v>
      </c>
      <c r="JB61">
        <f t="shared" si="145"/>
        <v>143.68318312834162</v>
      </c>
      <c r="JC61">
        <f t="shared" si="145"/>
        <v>143.69206523021421</v>
      </c>
      <c r="JD61">
        <f t="shared" si="145"/>
        <v>143.70098317579686</v>
      </c>
      <c r="JE61">
        <f t="shared" si="145"/>
        <v>143.70993697399535</v>
      </c>
      <c r="JF61">
        <f t="shared" si="145"/>
        <v>143.71892663355538</v>
      </c>
      <c r="JG61">
        <f t="shared" si="145"/>
        <v>143.72795216339728</v>
      </c>
      <c r="JH61">
        <f t="shared" ref="JH61:LS61" si="146">JH60-JG60</f>
        <v>143.73701357238315</v>
      </c>
      <c r="JI61">
        <f t="shared" si="146"/>
        <v>143.74611086950608</v>
      </c>
      <c r="JJ61">
        <f t="shared" si="146"/>
        <v>143.7552440636864</v>
      </c>
      <c r="JK61">
        <f t="shared" si="146"/>
        <v>143.76441316398268</v>
      </c>
      <c r="JL61">
        <f t="shared" si="146"/>
        <v>143.77361817942437</v>
      </c>
      <c r="JM61">
        <f t="shared" si="146"/>
        <v>143.78285911909188</v>
      </c>
      <c r="JN61">
        <f t="shared" si="146"/>
        <v>143.7921359921238</v>
      </c>
      <c r="JO61">
        <f t="shared" si="146"/>
        <v>143.80144880766602</v>
      </c>
      <c r="JP61">
        <f t="shared" si="146"/>
        <v>143.81079757491534</v>
      </c>
      <c r="JQ61">
        <f t="shared" si="146"/>
        <v>143.82018230312678</v>
      </c>
      <c r="JR61">
        <f t="shared" si="146"/>
        <v>143.82960300152627</v>
      </c>
      <c r="JS61">
        <f t="shared" si="146"/>
        <v>143.83905967944156</v>
      </c>
      <c r="JT61">
        <f t="shared" si="146"/>
        <v>143.84855234622228</v>
      </c>
      <c r="JU61">
        <f t="shared" si="146"/>
        <v>143.85808101122529</v>
      </c>
      <c r="JV61">
        <f t="shared" si="146"/>
        <v>143.86764568387298</v>
      </c>
      <c r="JW61">
        <f t="shared" si="146"/>
        <v>143.87724637363863</v>
      </c>
      <c r="JX61">
        <f t="shared" si="146"/>
        <v>143.88688308995188</v>
      </c>
      <c r="JY61">
        <f t="shared" si="146"/>
        <v>143.89655584240245</v>
      </c>
      <c r="JZ61">
        <f t="shared" si="146"/>
        <v>143.90626464050729</v>
      </c>
      <c r="KA61">
        <f t="shared" si="146"/>
        <v>143.91600949385611</v>
      </c>
      <c r="KB61">
        <f t="shared" si="146"/>
        <v>143.92579041213321</v>
      </c>
      <c r="KC61">
        <f t="shared" si="146"/>
        <v>143.93560740495741</v>
      </c>
      <c r="KD61">
        <f t="shared" si="146"/>
        <v>143.94546048204938</v>
      </c>
      <c r="KE61">
        <f t="shared" si="146"/>
        <v>143.95534965316619</v>
      </c>
      <c r="KF61">
        <f t="shared" si="146"/>
        <v>143.96527492808673</v>
      </c>
      <c r="KG61">
        <f t="shared" si="146"/>
        <v>143.9752363165826</v>
      </c>
      <c r="KH61">
        <f t="shared" si="146"/>
        <v>143.9852338285782</v>
      </c>
      <c r="KI61">
        <f t="shared" si="146"/>
        <v>143.99526747391792</v>
      </c>
      <c r="KJ61">
        <f t="shared" si="146"/>
        <v>144.00533726252615</v>
      </c>
      <c r="KK61">
        <f t="shared" si="146"/>
        <v>144.0154432043928</v>
      </c>
      <c r="KL61">
        <f t="shared" si="146"/>
        <v>144.02558530950046</v>
      </c>
      <c r="KM61">
        <f t="shared" si="146"/>
        <v>144.03576358788996</v>
      </c>
      <c r="KN61">
        <f t="shared" si="146"/>
        <v>144.04597804963123</v>
      </c>
      <c r="KO61">
        <f t="shared" si="146"/>
        <v>144.05622870483785</v>
      </c>
      <c r="KP61">
        <f t="shared" si="146"/>
        <v>144.06651556367433</v>
      </c>
      <c r="KQ61">
        <f t="shared" si="146"/>
        <v>144.07683863628336</v>
      </c>
      <c r="KR61">
        <f t="shared" si="146"/>
        <v>144.08719793293858</v>
      </c>
      <c r="KS61">
        <f t="shared" si="146"/>
        <v>144.09759346386272</v>
      </c>
      <c r="KT61">
        <f t="shared" si="146"/>
        <v>144.10802523936582</v>
      </c>
      <c r="KU61">
        <f t="shared" si="146"/>
        <v>144.11849326977244</v>
      </c>
      <c r="KV61">
        <f t="shared" si="146"/>
        <v>144.12899756545812</v>
      </c>
      <c r="KW61">
        <f t="shared" si="146"/>
        <v>144.13953813682747</v>
      </c>
      <c r="KX61">
        <f t="shared" si="146"/>
        <v>144.15011499432876</v>
      </c>
      <c r="KY61">
        <f t="shared" si="146"/>
        <v>144.1607281484321</v>
      </c>
      <c r="KZ61">
        <f t="shared" si="146"/>
        <v>144.1713776096658</v>
      </c>
      <c r="LA61">
        <f t="shared" si="146"/>
        <v>144.18206338858727</v>
      </c>
      <c r="LB61">
        <f t="shared" si="146"/>
        <v>144.19278549577575</v>
      </c>
      <c r="LC61">
        <f t="shared" si="146"/>
        <v>144.20354394186143</v>
      </c>
      <c r="LD61">
        <f t="shared" si="146"/>
        <v>144.21433873753267</v>
      </c>
      <c r="LE61">
        <f t="shared" si="146"/>
        <v>144.22516989347787</v>
      </c>
      <c r="LF61">
        <f t="shared" si="146"/>
        <v>144.23603742043633</v>
      </c>
      <c r="LG61">
        <f t="shared" si="146"/>
        <v>144.24694132918376</v>
      </c>
      <c r="LH61">
        <f t="shared" si="146"/>
        <v>144.25788163054676</v>
      </c>
      <c r="LI61">
        <f t="shared" si="146"/>
        <v>144.26885833538836</v>
      </c>
      <c r="LJ61">
        <f t="shared" si="146"/>
        <v>144.27987145454244</v>
      </c>
      <c r="LK61">
        <f t="shared" si="146"/>
        <v>144.29092099901027</v>
      </c>
      <c r="LL61">
        <f t="shared" si="146"/>
        <v>144.30200697970577</v>
      </c>
      <c r="LM61">
        <f t="shared" si="146"/>
        <v>144.31312940768839</v>
      </c>
      <c r="LN61">
        <f t="shared" si="146"/>
        <v>144.32428829391574</v>
      </c>
      <c r="LO61">
        <f t="shared" si="146"/>
        <v>144.33548364953458</v>
      </c>
      <c r="LP61">
        <f t="shared" si="146"/>
        <v>144.34671548564802</v>
      </c>
      <c r="LQ61">
        <f t="shared" si="146"/>
        <v>144.35798381335917</v>
      </c>
      <c r="LR61">
        <f t="shared" si="146"/>
        <v>144.36928864391666</v>
      </c>
      <c r="LS61">
        <f t="shared" si="146"/>
        <v>144.38062998854002</v>
      </c>
      <c r="LT61">
        <f t="shared" ref="LT61:OE61" si="147">LT60-LS60</f>
        <v>144.39200785843423</v>
      </c>
      <c r="LU61">
        <f t="shared" si="147"/>
        <v>144.40342226502253</v>
      </c>
      <c r="LV61">
        <f t="shared" si="147"/>
        <v>144.41487321951718</v>
      </c>
      <c r="LW61">
        <f t="shared" si="147"/>
        <v>144.42636073336325</v>
      </c>
      <c r="LX61">
        <f t="shared" si="147"/>
        <v>144.43788481796946</v>
      </c>
      <c r="LY61">
        <f t="shared" si="147"/>
        <v>144.44944548477361</v>
      </c>
      <c r="LZ61">
        <f t="shared" si="147"/>
        <v>144.46104274529353</v>
      </c>
      <c r="MA61">
        <f t="shared" si="147"/>
        <v>144.47267661101796</v>
      </c>
      <c r="MB61">
        <f t="shared" si="147"/>
        <v>144.48434709355934</v>
      </c>
      <c r="MC61">
        <f t="shared" si="147"/>
        <v>144.49605420450825</v>
      </c>
      <c r="MD61">
        <f t="shared" si="147"/>
        <v>144.50779795547714</v>
      </c>
      <c r="ME61">
        <f t="shared" si="147"/>
        <v>144.5195783581803</v>
      </c>
      <c r="MF61">
        <f t="shared" si="147"/>
        <v>144.53139542432473</v>
      </c>
      <c r="MG61">
        <f t="shared" si="147"/>
        <v>144.54324916566111</v>
      </c>
      <c r="MH61">
        <f t="shared" si="147"/>
        <v>144.55513959399104</v>
      </c>
      <c r="MI61">
        <f t="shared" si="147"/>
        <v>144.56706672113796</v>
      </c>
      <c r="MJ61">
        <f t="shared" si="147"/>
        <v>144.5790305589835</v>
      </c>
      <c r="MK61">
        <f t="shared" si="147"/>
        <v>144.59103111942386</v>
      </c>
      <c r="ML61">
        <f t="shared" si="147"/>
        <v>144.60306841442798</v>
      </c>
      <c r="MM61">
        <f t="shared" si="147"/>
        <v>144.61514245592844</v>
      </c>
      <c r="MN61">
        <f t="shared" si="147"/>
        <v>144.62725325601787</v>
      </c>
      <c r="MO61">
        <f t="shared" si="147"/>
        <v>144.63940082669433</v>
      </c>
      <c r="MP61">
        <f t="shared" si="147"/>
        <v>144.65158518009412</v>
      </c>
      <c r="MQ61">
        <f t="shared" si="147"/>
        <v>144.66380632833898</v>
      </c>
      <c r="MR61">
        <f t="shared" si="147"/>
        <v>144.67606428360887</v>
      </c>
      <c r="MS61">
        <f t="shared" si="147"/>
        <v>144.68835905808373</v>
      </c>
      <c r="MT61">
        <f t="shared" si="147"/>
        <v>144.70069066408905</v>
      </c>
      <c r="MU61">
        <f t="shared" si="147"/>
        <v>144.7130591138266</v>
      </c>
      <c r="MV61">
        <f t="shared" si="147"/>
        <v>144.72546441969462</v>
      </c>
      <c r="MW61">
        <f t="shared" si="147"/>
        <v>144.73790659401857</v>
      </c>
      <c r="MX61">
        <f t="shared" si="147"/>
        <v>144.75038564921124</v>
      </c>
      <c r="MY61">
        <f t="shared" si="147"/>
        <v>144.76290159773635</v>
      </c>
      <c r="MZ61">
        <f t="shared" si="147"/>
        <v>144.77545445203577</v>
      </c>
      <c r="NA61">
        <f t="shared" si="147"/>
        <v>144.78804422466783</v>
      </c>
      <c r="NB61">
        <f t="shared" si="147"/>
        <v>144.80067092814716</v>
      </c>
      <c r="NC61">
        <f t="shared" si="147"/>
        <v>144.81333457512665</v>
      </c>
      <c r="ND61">
        <f t="shared" si="147"/>
        <v>144.82603517819371</v>
      </c>
      <c r="NE61">
        <f t="shared" si="147"/>
        <v>144.83877275003761</v>
      </c>
      <c r="NF61">
        <f t="shared" si="147"/>
        <v>144.85154730337672</v>
      </c>
      <c r="NG61">
        <f t="shared" si="147"/>
        <v>144.86435885095125</v>
      </c>
      <c r="NH61">
        <f t="shared" si="147"/>
        <v>144.87720740553777</v>
      </c>
      <c r="NI61">
        <f t="shared" si="147"/>
        <v>144.89009298001474</v>
      </c>
      <c r="NJ61">
        <f t="shared" si="147"/>
        <v>144.90301558718784</v>
      </c>
      <c r="NK61">
        <f t="shared" si="147"/>
        <v>144.91597523998644</v>
      </c>
      <c r="NL61">
        <f t="shared" si="147"/>
        <v>144.92897195135447</v>
      </c>
      <c r="NM61">
        <f t="shared" si="147"/>
        <v>144.94200573430862</v>
      </c>
      <c r="NN61">
        <f t="shared" si="147"/>
        <v>144.95507660181465</v>
      </c>
      <c r="NO61">
        <f t="shared" si="147"/>
        <v>144.96818456694018</v>
      </c>
      <c r="NP61">
        <f t="shared" si="147"/>
        <v>144.98132964281103</v>
      </c>
      <c r="NQ61">
        <f t="shared" si="147"/>
        <v>144.99451184256759</v>
      </c>
      <c r="NR61">
        <f t="shared" si="147"/>
        <v>145.00773117936478</v>
      </c>
      <c r="NS61">
        <f t="shared" si="147"/>
        <v>145.02098766641575</v>
      </c>
      <c r="NT61">
        <f t="shared" si="147"/>
        <v>145.03428131698456</v>
      </c>
      <c r="NU61">
        <f t="shared" si="147"/>
        <v>145.04761214438622</v>
      </c>
      <c r="NV61">
        <f t="shared" si="147"/>
        <v>145.06098016189208</v>
      </c>
      <c r="NW61">
        <f t="shared" si="147"/>
        <v>145.07438538295537</v>
      </c>
      <c r="NX61">
        <f t="shared" si="147"/>
        <v>145.08782782092021</v>
      </c>
      <c r="NY61">
        <f t="shared" si="147"/>
        <v>145.1013074892544</v>
      </c>
      <c r="NZ61">
        <f t="shared" si="147"/>
        <v>145.11482440147665</v>
      </c>
      <c r="OA61">
        <f t="shared" si="147"/>
        <v>145.12837857107661</v>
      </c>
      <c r="OB61">
        <f t="shared" si="147"/>
        <v>145.14197001162393</v>
      </c>
      <c r="OC61">
        <f t="shared" si="147"/>
        <v>145.15559873674647</v>
      </c>
      <c r="OD61">
        <f t="shared" si="147"/>
        <v>145.16926476009394</v>
      </c>
      <c r="OE61">
        <f t="shared" si="147"/>
        <v>145.18296809530148</v>
      </c>
      <c r="OF61">
        <f t="shared" ref="OF61:QQ61" si="148">OF60-OE60</f>
        <v>145.19670875618613</v>
      </c>
      <c r="OG61">
        <f t="shared" si="148"/>
        <v>145.21048675638303</v>
      </c>
      <c r="OH61">
        <f t="shared" si="148"/>
        <v>145.22430210981111</v>
      </c>
      <c r="OI61">
        <f t="shared" si="148"/>
        <v>145.23815483024373</v>
      </c>
      <c r="OJ61">
        <f t="shared" si="148"/>
        <v>145.25204493160709</v>
      </c>
      <c r="OK61">
        <f t="shared" si="148"/>
        <v>145.26597242776188</v>
      </c>
      <c r="OL61">
        <f t="shared" si="148"/>
        <v>145.27993733275071</v>
      </c>
      <c r="OM61">
        <f t="shared" si="148"/>
        <v>145.29393966049247</v>
      </c>
      <c r="ON61">
        <f t="shared" si="148"/>
        <v>145.30797942508798</v>
      </c>
      <c r="OO61">
        <f t="shared" si="148"/>
        <v>145.32205664058711</v>
      </c>
      <c r="OP61">
        <f t="shared" si="148"/>
        <v>145.33617132108338</v>
      </c>
      <c r="OQ61">
        <f t="shared" si="148"/>
        <v>145.35032348078676</v>
      </c>
      <c r="OR61">
        <f t="shared" si="148"/>
        <v>145.36451313389261</v>
      </c>
      <c r="OS61">
        <f t="shared" si="148"/>
        <v>145.37874029459635</v>
      </c>
      <c r="OT61">
        <f t="shared" si="148"/>
        <v>145.3930049771734</v>
      </c>
      <c r="OU61">
        <f t="shared" si="148"/>
        <v>145.4073071959865</v>
      </c>
      <c r="OV61">
        <f t="shared" si="148"/>
        <v>145.42164696538384</v>
      </c>
      <c r="OW61">
        <f t="shared" si="148"/>
        <v>145.43602429972088</v>
      </c>
      <c r="OX61">
        <f t="shared" si="148"/>
        <v>145.45043921345496</v>
      </c>
      <c r="OY61">
        <f t="shared" si="148"/>
        <v>145.46489172108704</v>
      </c>
      <c r="OZ61">
        <f t="shared" si="148"/>
        <v>145.47938183711813</v>
      </c>
      <c r="PA61">
        <f t="shared" si="148"/>
        <v>145.49390957607829</v>
      </c>
      <c r="PB61">
        <f t="shared" si="148"/>
        <v>145.50847495260678</v>
      </c>
      <c r="PC61">
        <f t="shared" si="148"/>
        <v>145.52307798128459</v>
      </c>
      <c r="PD61">
        <f t="shared" si="148"/>
        <v>145.53771867688192</v>
      </c>
      <c r="PE61">
        <f t="shared" si="148"/>
        <v>145.5523970539798</v>
      </c>
      <c r="PF61">
        <f t="shared" si="148"/>
        <v>145.56711312742846</v>
      </c>
      <c r="PG61">
        <f t="shared" si="148"/>
        <v>145.58186691204901</v>
      </c>
      <c r="PH61">
        <f t="shared" si="148"/>
        <v>145.596658422568</v>
      </c>
      <c r="PI61">
        <f t="shared" si="148"/>
        <v>145.6114876739739</v>
      </c>
      <c r="PJ61">
        <f t="shared" si="148"/>
        <v>145.62635468107328</v>
      </c>
      <c r="PK61">
        <f t="shared" si="148"/>
        <v>145.64125945896376</v>
      </c>
      <c r="PL61">
        <f t="shared" si="148"/>
        <v>145.65620202251739</v>
      </c>
      <c r="PM61">
        <f t="shared" si="148"/>
        <v>145.67118238682451</v>
      </c>
      <c r="PN61">
        <f t="shared" si="148"/>
        <v>145.68620056695363</v>
      </c>
      <c r="PO61">
        <f t="shared" si="148"/>
        <v>145.70125657803146</v>
      </c>
      <c r="PP61">
        <f t="shared" si="148"/>
        <v>145.71635043523565</v>
      </c>
      <c r="PQ61">
        <f t="shared" si="148"/>
        <v>145.7314821536711</v>
      </c>
      <c r="PR61">
        <f t="shared" si="148"/>
        <v>145.74665174871916</v>
      </c>
      <c r="PS61">
        <f t="shared" si="148"/>
        <v>145.76185923552111</v>
      </c>
      <c r="PT61">
        <f t="shared" si="148"/>
        <v>145.77710462953837</v>
      </c>
      <c r="PU61">
        <f t="shared" si="148"/>
        <v>145.79238794599951</v>
      </c>
      <c r="PV61">
        <f t="shared" si="148"/>
        <v>145.80770920037321</v>
      </c>
      <c r="PW61">
        <f t="shared" si="148"/>
        <v>145.82306840809179</v>
      </c>
      <c r="PX61">
        <f t="shared" si="148"/>
        <v>145.83846558467485</v>
      </c>
      <c r="PY61">
        <f t="shared" si="148"/>
        <v>145.85390074558381</v>
      </c>
      <c r="PZ61">
        <f t="shared" si="148"/>
        <v>145.86937390638923</v>
      </c>
      <c r="QA61">
        <f t="shared" si="148"/>
        <v>145.88488508274168</v>
      </c>
      <c r="QB61">
        <f t="shared" si="148"/>
        <v>145.90043429025536</v>
      </c>
      <c r="QC61">
        <f t="shared" si="148"/>
        <v>145.91602154465363</v>
      </c>
      <c r="QD61">
        <f t="shared" si="148"/>
        <v>145.93164686156524</v>
      </c>
      <c r="QE61">
        <f t="shared" si="148"/>
        <v>145.94731025688816</v>
      </c>
      <c r="QF61">
        <f t="shared" si="148"/>
        <v>145.963011746353</v>
      </c>
      <c r="QG61">
        <f t="shared" si="148"/>
        <v>145.97875134584319</v>
      </c>
      <c r="QH61">
        <f t="shared" si="148"/>
        <v>145.99452907119849</v>
      </c>
      <c r="QI61">
        <f t="shared" si="148"/>
        <v>146.01034493841871</v>
      </c>
      <c r="QJ61">
        <f t="shared" si="148"/>
        <v>146.02619896343822</v>
      </c>
      <c r="QK61">
        <f t="shared" si="148"/>
        <v>146.04209116230777</v>
      </c>
      <c r="QL61">
        <f t="shared" si="148"/>
        <v>146.0580215510272</v>
      </c>
      <c r="QM61">
        <f t="shared" si="148"/>
        <v>146.07399014574185</v>
      </c>
      <c r="QN61">
        <f t="shared" si="148"/>
        <v>146.08999696253159</v>
      </c>
      <c r="QO61">
        <f t="shared" si="148"/>
        <v>146.10604201770184</v>
      </c>
      <c r="QP61">
        <f t="shared" si="148"/>
        <v>146.12212532730337</v>
      </c>
      <c r="QQ61">
        <f t="shared" si="148"/>
        <v>146.13824690769252</v>
      </c>
      <c r="QR61">
        <f t="shared" ref="QR61:TC61" si="149">QR60-QQ60</f>
        <v>146.15440677522565</v>
      </c>
      <c r="QS61">
        <f t="shared" si="149"/>
        <v>146.17060494610632</v>
      </c>
      <c r="QT61">
        <f t="shared" si="149"/>
        <v>146.18684143690189</v>
      </c>
      <c r="QU61">
        <f t="shared" si="149"/>
        <v>146.20311626383773</v>
      </c>
      <c r="QV61">
        <f t="shared" si="149"/>
        <v>146.21942944351031</v>
      </c>
      <c r="QW61">
        <f t="shared" si="149"/>
        <v>146.23578099243605</v>
      </c>
      <c r="QX61">
        <f t="shared" si="149"/>
        <v>146.25217092721141</v>
      </c>
      <c r="QY61">
        <f t="shared" si="149"/>
        <v>146.26859926409088</v>
      </c>
      <c r="QZ61">
        <f t="shared" si="149"/>
        <v>146.28506602022389</v>
      </c>
      <c r="RA61">
        <f t="shared" si="149"/>
        <v>146.30157121195225</v>
      </c>
      <c r="RB61">
        <f t="shared" si="149"/>
        <v>146.31811485617072</v>
      </c>
      <c r="RC61">
        <f t="shared" si="149"/>
        <v>146.33469696932298</v>
      </c>
      <c r="RD61">
        <f t="shared" si="149"/>
        <v>146.35131756865303</v>
      </c>
      <c r="RE61">
        <f t="shared" si="149"/>
        <v>146.36797667072096</v>
      </c>
      <c r="RF61">
        <f t="shared" si="149"/>
        <v>146.38467429256707</v>
      </c>
      <c r="RG61">
        <f t="shared" si="149"/>
        <v>146.40141045080964</v>
      </c>
      <c r="RH61">
        <f t="shared" si="149"/>
        <v>146.41818516285275</v>
      </c>
      <c r="RI61">
        <f t="shared" si="149"/>
        <v>146.43499844546022</v>
      </c>
      <c r="RJ61">
        <f t="shared" si="149"/>
        <v>146.45185031577421</v>
      </c>
      <c r="RK61">
        <f t="shared" si="149"/>
        <v>146.46874079061672</v>
      </c>
      <c r="RL61">
        <f t="shared" si="149"/>
        <v>146.48566988759558</v>
      </c>
      <c r="RM61">
        <f t="shared" si="149"/>
        <v>146.50263762357645</v>
      </c>
      <c r="RN61">
        <f t="shared" si="149"/>
        <v>146.51964401591977</v>
      </c>
      <c r="RO61">
        <f t="shared" si="149"/>
        <v>146.53668908160762</v>
      </c>
      <c r="RP61">
        <f t="shared" si="149"/>
        <v>146.55377283839334</v>
      </c>
      <c r="RQ61">
        <f t="shared" si="149"/>
        <v>146.57089530327357</v>
      </c>
      <c r="RR61">
        <f t="shared" si="149"/>
        <v>146.58805649391434</v>
      </c>
      <c r="RS61">
        <f t="shared" si="149"/>
        <v>146.60525642735593</v>
      </c>
      <c r="RT61">
        <f t="shared" si="149"/>
        <v>146.62249512151175</v>
      </c>
      <c r="RU61">
        <f t="shared" si="149"/>
        <v>146.63977259372768</v>
      </c>
      <c r="RV61">
        <f t="shared" si="149"/>
        <v>146.65708886139328</v>
      </c>
      <c r="RW61">
        <f t="shared" si="149"/>
        <v>146.67444394230552</v>
      </c>
      <c r="RX61">
        <f t="shared" si="149"/>
        <v>146.69183785408677</v>
      </c>
      <c r="RY61">
        <f t="shared" si="149"/>
        <v>146.70927061453403</v>
      </c>
      <c r="RZ61">
        <f t="shared" si="149"/>
        <v>146.72674224106595</v>
      </c>
      <c r="SA61">
        <f t="shared" si="149"/>
        <v>146.74425275171234</v>
      </c>
      <c r="SB61">
        <f t="shared" si="149"/>
        <v>146.76180216418288</v>
      </c>
      <c r="SC61">
        <f t="shared" si="149"/>
        <v>146.77939049656561</v>
      </c>
      <c r="SD61">
        <f t="shared" si="149"/>
        <v>146.79701776633738</v>
      </c>
      <c r="SE61">
        <f t="shared" si="149"/>
        <v>146.81468399177538</v>
      </c>
      <c r="SF61">
        <f t="shared" si="149"/>
        <v>146.83238919069117</v>
      </c>
      <c r="SG61">
        <f t="shared" si="149"/>
        <v>146.85013338144927</v>
      </c>
      <c r="SH61">
        <f t="shared" si="149"/>
        <v>146.86791658157017</v>
      </c>
      <c r="SI61">
        <f t="shared" si="149"/>
        <v>146.88573880962213</v>
      </c>
      <c r="SJ61">
        <f t="shared" si="149"/>
        <v>146.90360008351854</v>
      </c>
      <c r="SK61">
        <f t="shared" si="149"/>
        <v>146.92150042176945</v>
      </c>
      <c r="SL61">
        <f t="shared" si="149"/>
        <v>146.93943984217185</v>
      </c>
      <c r="SM61">
        <f t="shared" si="149"/>
        <v>146.95741836336674</v>
      </c>
      <c r="SN61">
        <f t="shared" si="149"/>
        <v>146.97543600347126</v>
      </c>
      <c r="SO61">
        <f t="shared" si="149"/>
        <v>146.99349278111185</v>
      </c>
      <c r="SP61">
        <f t="shared" si="149"/>
        <v>147.01158871447842</v>
      </c>
      <c r="SQ61">
        <f t="shared" si="149"/>
        <v>147.02972382212465</v>
      </c>
      <c r="SR61">
        <f t="shared" si="149"/>
        <v>147.04789812257513</v>
      </c>
      <c r="SS61">
        <f t="shared" si="149"/>
        <v>147.06611163426714</v>
      </c>
      <c r="ST61">
        <f t="shared" si="149"/>
        <v>147.084364375929</v>
      </c>
      <c r="SU61">
        <f t="shared" si="149"/>
        <v>147.10265636612894</v>
      </c>
      <c r="SV61">
        <f t="shared" si="149"/>
        <v>147.12098762358073</v>
      </c>
      <c r="SW61">
        <f t="shared" si="149"/>
        <v>147.13935816695448</v>
      </c>
      <c r="SX61">
        <f t="shared" si="149"/>
        <v>147.15776801502216</v>
      </c>
      <c r="SY61">
        <f t="shared" si="149"/>
        <v>147.17621718667215</v>
      </c>
      <c r="SZ61">
        <f t="shared" si="149"/>
        <v>147.19470570067642</v>
      </c>
      <c r="TA61">
        <f t="shared" si="149"/>
        <v>147.21323357595247</v>
      </c>
      <c r="TB61">
        <f t="shared" si="149"/>
        <v>147.23180083146144</v>
      </c>
      <c r="TC61">
        <f t="shared" si="149"/>
        <v>147.25040748614992</v>
      </c>
      <c r="TD61">
        <f t="shared" ref="TD61:VO61" si="150">TD60-TC60</f>
        <v>147.26905355912459</v>
      </c>
      <c r="TE61">
        <f t="shared" si="150"/>
        <v>147.28773906936112</v>
      </c>
      <c r="TF61">
        <f t="shared" si="150"/>
        <v>147.30646403602441</v>
      </c>
      <c r="TG61">
        <f t="shared" si="150"/>
        <v>147.32522847829387</v>
      </c>
      <c r="TH61">
        <f t="shared" si="150"/>
        <v>147.34403241531982</v>
      </c>
      <c r="TI61">
        <f t="shared" si="150"/>
        <v>147.3628758663981</v>
      </c>
      <c r="TJ61">
        <f t="shared" si="150"/>
        <v>147.38175885081</v>
      </c>
      <c r="TK61">
        <f t="shared" si="150"/>
        <v>147.40068138786592</v>
      </c>
      <c r="TL61">
        <f t="shared" si="150"/>
        <v>147.41964349699265</v>
      </c>
      <c r="TM61">
        <f t="shared" si="150"/>
        <v>147.43864519757335</v>
      </c>
      <c r="TN61">
        <f t="shared" si="150"/>
        <v>147.45768650910759</v>
      </c>
      <c r="TO61">
        <f t="shared" si="150"/>
        <v>147.47676745108038</v>
      </c>
      <c r="TP61">
        <f t="shared" si="150"/>
        <v>147.49588804307859</v>
      </c>
      <c r="TQ61">
        <f t="shared" si="150"/>
        <v>147.51504830471822</v>
      </c>
      <c r="TR61">
        <f t="shared" si="150"/>
        <v>147.53424825554248</v>
      </c>
      <c r="TS61">
        <f t="shared" si="150"/>
        <v>147.55348791538563</v>
      </c>
      <c r="TT61">
        <f t="shared" si="150"/>
        <v>147.57276730389276</v>
      </c>
      <c r="TU61">
        <f t="shared" si="150"/>
        <v>147.59208644086902</v>
      </c>
      <c r="TV61">
        <f t="shared" si="150"/>
        <v>147.61144534613413</v>
      </c>
      <c r="TW61">
        <f t="shared" si="150"/>
        <v>147.63084403960966</v>
      </c>
      <c r="TX61">
        <f t="shared" si="150"/>
        <v>147.6502825410862</v>
      </c>
      <c r="TY61">
        <f t="shared" si="150"/>
        <v>147.66976087065996</v>
      </c>
      <c r="TZ61">
        <f t="shared" si="150"/>
        <v>147.6892790482234</v>
      </c>
      <c r="UA61">
        <f t="shared" si="150"/>
        <v>147.70883709394548</v>
      </c>
      <c r="UB61">
        <f t="shared" si="150"/>
        <v>147.72843502776232</v>
      </c>
      <c r="UC61">
        <f t="shared" si="150"/>
        <v>147.7480728700175</v>
      </c>
      <c r="UD61">
        <f t="shared" si="150"/>
        <v>147.76775064066169</v>
      </c>
      <c r="UE61">
        <f t="shared" si="150"/>
        <v>147.78746836008213</v>
      </c>
      <c r="UF61">
        <f t="shared" si="150"/>
        <v>147.80722604852053</v>
      </c>
      <c r="UG61">
        <f t="shared" si="150"/>
        <v>147.82702372629137</v>
      </c>
      <c r="UH61">
        <f t="shared" si="150"/>
        <v>147.84686141372367</v>
      </c>
      <c r="UI61">
        <f t="shared" si="150"/>
        <v>147.86673913126288</v>
      </c>
      <c r="UJ61">
        <f t="shared" si="150"/>
        <v>147.88665689936897</v>
      </c>
      <c r="UK61">
        <f t="shared" si="150"/>
        <v>147.90661473850196</v>
      </c>
      <c r="UL61">
        <f t="shared" si="150"/>
        <v>147.92661266925279</v>
      </c>
      <c r="UM61">
        <f t="shared" si="150"/>
        <v>147.94665071218333</v>
      </c>
      <c r="UN61">
        <f t="shared" si="150"/>
        <v>147.96672888792818</v>
      </c>
      <c r="UO61">
        <f t="shared" si="150"/>
        <v>147.98684721716563</v>
      </c>
      <c r="UP61">
        <f t="shared" si="150"/>
        <v>148.00700572067581</v>
      </c>
      <c r="UQ61">
        <f t="shared" si="150"/>
        <v>148.02720441916608</v>
      </c>
      <c r="UR61">
        <f t="shared" si="150"/>
        <v>148.04744333343115</v>
      </c>
      <c r="US61">
        <f t="shared" si="150"/>
        <v>148.06772248444031</v>
      </c>
      <c r="UT61">
        <f t="shared" si="150"/>
        <v>148.08804189301736</v>
      </c>
      <c r="UU61">
        <f t="shared" si="150"/>
        <v>148.10840158014616</v>
      </c>
      <c r="UV61">
        <f t="shared" si="150"/>
        <v>148.12880156676692</v>
      </c>
      <c r="UW61">
        <f t="shared" si="150"/>
        <v>148.14924187406723</v>
      </c>
      <c r="UX61">
        <f t="shared" si="150"/>
        <v>148.16972252301639</v>
      </c>
      <c r="UY61">
        <f t="shared" si="150"/>
        <v>148.19024353475834</v>
      </c>
      <c r="UZ61">
        <f t="shared" si="150"/>
        <v>148.21080493053887</v>
      </c>
      <c r="VA61">
        <f t="shared" si="150"/>
        <v>148.23140673154558</v>
      </c>
      <c r="VB61">
        <f t="shared" si="150"/>
        <v>148.25204895909701</v>
      </c>
      <c r="VC61">
        <f t="shared" si="150"/>
        <v>148.27273163442442</v>
      </c>
      <c r="VD61">
        <f t="shared" si="150"/>
        <v>148.29345477899187</v>
      </c>
      <c r="VE61">
        <f t="shared" si="150"/>
        <v>148.31421841416159</v>
      </c>
      <c r="VF61">
        <f t="shared" si="150"/>
        <v>148.3350225614704</v>
      </c>
      <c r="VG61">
        <f t="shared" si="150"/>
        <v>148.35586724228051</v>
      </c>
      <c r="VH61">
        <f t="shared" si="150"/>
        <v>148.37675247827428</v>
      </c>
      <c r="VI61">
        <f t="shared" si="150"/>
        <v>148.39767829098855</v>
      </c>
      <c r="VJ61">
        <f t="shared" si="150"/>
        <v>148.41864470213477</v>
      </c>
      <c r="VK61">
        <f t="shared" si="150"/>
        <v>148.43965173327888</v>
      </c>
      <c r="VL61">
        <f t="shared" si="150"/>
        <v>148.46069940635061</v>
      </c>
      <c r="VM61">
        <f t="shared" si="150"/>
        <v>148.48178774295957</v>
      </c>
      <c r="VN61">
        <f t="shared" si="150"/>
        <v>148.50291676499182</v>
      </c>
      <c r="VO61">
        <f t="shared" si="150"/>
        <v>148.52408649439167</v>
      </c>
      <c r="VP61">
        <f t="shared" ref="VP61:WN61" si="151">VP60-VO60</f>
        <v>148.54529695297242</v>
      </c>
      <c r="VQ61">
        <f t="shared" si="151"/>
        <v>148.56654816282389</v>
      </c>
      <c r="VR61">
        <f t="shared" si="151"/>
        <v>148.58784014590492</v>
      </c>
      <c r="VS61">
        <f t="shared" si="151"/>
        <v>148.60917292429076</v>
      </c>
      <c r="VT61">
        <f t="shared" si="151"/>
        <v>148.63054652004212</v>
      </c>
      <c r="VU61">
        <f t="shared" si="151"/>
        <v>148.65196095545252</v>
      </c>
      <c r="VV61">
        <f t="shared" si="151"/>
        <v>148.67341625258268</v>
      </c>
      <c r="VW61">
        <f t="shared" si="151"/>
        <v>148.69491243376979</v>
      </c>
      <c r="VX61">
        <f t="shared" si="151"/>
        <v>148.71644952130737</v>
      </c>
      <c r="VY61">
        <f t="shared" si="151"/>
        <v>148.73802753754717</v>
      </c>
      <c r="VZ61">
        <f t="shared" si="151"/>
        <v>148.75964650484093</v>
      </c>
      <c r="WA61">
        <f t="shared" si="151"/>
        <v>148.78130644571502</v>
      </c>
      <c r="WB61">
        <f t="shared" si="151"/>
        <v>148.80300738255028</v>
      </c>
      <c r="WC61">
        <f t="shared" si="151"/>
        <v>148.82474933798949</v>
      </c>
      <c r="WD61">
        <f t="shared" si="151"/>
        <v>148.84653233455901</v>
      </c>
      <c r="WE61">
        <f t="shared" si="151"/>
        <v>148.86835639491619</v>
      </c>
      <c r="WF61">
        <f t="shared" si="151"/>
        <v>148.8902215417329</v>
      </c>
      <c r="WG61">
        <f t="shared" si="151"/>
        <v>148.91212779771013</v>
      </c>
      <c r="WH61">
        <f t="shared" si="151"/>
        <v>148.93407518567983</v>
      </c>
      <c r="WI61">
        <f t="shared" si="151"/>
        <v>148.95606372844486</v>
      </c>
      <c r="WJ61">
        <f t="shared" si="151"/>
        <v>148.97809344886628</v>
      </c>
      <c r="WK61">
        <f t="shared" si="151"/>
        <v>149.00016436983424</v>
      </c>
      <c r="WL61">
        <f t="shared" si="151"/>
        <v>149.02227651438443</v>
      </c>
      <c r="WM61">
        <f t="shared" si="151"/>
        <v>149.04442990547977</v>
      </c>
      <c r="WN61">
        <f t="shared" si="151"/>
        <v>149.06662456622871</v>
      </c>
    </row>
    <row r="62" spans="2:612" x14ac:dyDescent="0.25">
      <c r="K62">
        <f>AVERAGE(K61:WN61)</f>
        <v>144.71692370910984</v>
      </c>
    </row>
  </sheetData>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4AC36-7DBA-9F4A-80CC-277A24849499}">
  <sheetPr codeName="Sheet5">
    <pageSetUpPr fitToPage="1"/>
  </sheetPr>
  <dimension ref="B2:G28"/>
  <sheetViews>
    <sheetView zoomScale="78" zoomScaleNormal="78" workbookViewId="0">
      <selection activeCell="H25" sqref="H25"/>
    </sheetView>
  </sheetViews>
  <sheetFormatPr defaultColWidth="10.85546875" defaultRowHeight="15" x14ac:dyDescent="0.25"/>
  <cols>
    <col min="2" max="2" width="3.85546875" customWidth="1"/>
    <col min="3" max="3" width="7.85546875" customWidth="1"/>
    <col min="4" max="4" width="31" customWidth="1"/>
    <col min="5" max="5" width="4" customWidth="1"/>
    <col min="6" max="6" width="7.85546875" customWidth="1"/>
    <col min="7" max="7" width="30.7109375" customWidth="1"/>
  </cols>
  <sheetData>
    <row r="2" spans="2:7" ht="18.75" x14ac:dyDescent="0.3">
      <c r="B2" s="91" t="s">
        <v>96</v>
      </c>
      <c r="C2" s="91"/>
      <c r="D2" s="91"/>
      <c r="E2" s="91"/>
      <c r="F2" s="91"/>
      <c r="G2" s="91"/>
    </row>
    <row r="4" spans="2:7" ht="54" customHeight="1" x14ac:dyDescent="0.25">
      <c r="B4" s="90" t="s">
        <v>95</v>
      </c>
      <c r="C4" s="90"/>
      <c r="D4" s="90"/>
      <c r="E4" s="90"/>
      <c r="F4" s="90"/>
      <c r="G4" s="90"/>
    </row>
    <row r="5" spans="2:7" ht="29.1" customHeight="1" x14ac:dyDescent="0.4">
      <c r="B5" t="s">
        <v>104</v>
      </c>
      <c r="D5" s="65" t="s">
        <v>76</v>
      </c>
      <c r="E5" t="s">
        <v>105</v>
      </c>
      <c r="G5" s="1"/>
    </row>
    <row r="7" spans="2:7" x14ac:dyDescent="0.25">
      <c r="B7" t="s">
        <v>106</v>
      </c>
      <c r="D7" s="99" t="s">
        <v>107</v>
      </c>
      <c r="E7" s="99"/>
      <c r="F7" s="99"/>
      <c r="G7" s="99"/>
    </row>
    <row r="9" spans="2:7" ht="26.25" x14ac:dyDescent="0.25">
      <c r="B9" s="62" t="s">
        <v>97</v>
      </c>
      <c r="C9" s="63" t="s">
        <v>98</v>
      </c>
      <c r="D9" s="62" t="s">
        <v>67</v>
      </c>
      <c r="E9" s="62" t="s">
        <v>97</v>
      </c>
      <c r="F9" s="64" t="s">
        <v>98</v>
      </c>
      <c r="G9" s="62" t="s">
        <v>67</v>
      </c>
    </row>
    <row r="10" spans="2:7" s="60" customFormat="1" ht="30" customHeight="1" x14ac:dyDescent="0.25">
      <c r="B10" s="61">
        <v>1</v>
      </c>
      <c r="C10" s="61">
        <f>IFERROR(IF(ISNA(VLOOKUP('BDA Crew List'!B10,Crew!$A$2:$E$27,5,FALSE))," ", VLOOKUP('BDA Crew List'!B10,Crew!$A$2:$E$27,5,FALSE)),"")</f>
        <v>1234</v>
      </c>
      <c r="D10" s="66" t="str">
        <f>IFERROR(IF(ISNA(VLOOKUP('BDA Crew List'!B10,Crew!$A$2:$E$27,2,FALSE))," ", VLOOKUP('BDA Crew List'!B10,Crew!$A$2:$E$27,2,FALSE)),"")</f>
        <v>1 A</v>
      </c>
      <c r="E10" s="61">
        <v>2</v>
      </c>
      <c r="F10" s="61">
        <f>IFERROR(IF(ISNA(VLOOKUP('BDA Crew List'!E10,Crew!$A$2:$E$27,5,FALSE))," ", VLOOKUP('BDA Crew List'!E10,Crew!$A$2:$E$27,5,FALSE)),"")</f>
        <v>1235</v>
      </c>
      <c r="G10" s="66" t="str">
        <f>IFERROR(IF(ISNA(VLOOKUP('BDA Crew List'!E10,Crew!$A$2:$E$27,2,FALSE))," ", VLOOKUP('BDA Crew List'!E10,Crew!$A$2:$E$27,2,FALSE)),"")</f>
        <v>2 A</v>
      </c>
    </row>
    <row r="11" spans="2:7" s="60" customFormat="1" ht="30" customHeight="1" x14ac:dyDescent="0.25">
      <c r="B11" s="61">
        <v>3</v>
      </c>
      <c r="C11" s="61">
        <f>IFERROR(IF(ISNA(VLOOKUP('BDA Crew List'!B11,Crew!$A$2:$E$27,5,FALSE))," ", VLOOKUP('BDA Crew List'!B11,Crew!$A$2:$E$27,5,FALSE)),"")</f>
        <v>1236</v>
      </c>
      <c r="D11" s="66" t="str">
        <f>IFERROR(IF(ISNA(VLOOKUP('BDA Crew List'!B11,Crew!$A$2:$E$27,2,FALSE))," ", VLOOKUP('BDA Crew List'!B11,Crew!$A$2:$E$27,2,FALSE)),"")</f>
        <v>3 A</v>
      </c>
      <c r="E11" s="61">
        <v>4</v>
      </c>
      <c r="F11" s="61">
        <f>IFERROR(IF(ISNA(VLOOKUP('BDA Crew List'!E11,Crew!$A$2:$E$27,5,FALSE))," ", VLOOKUP('BDA Crew List'!E11,Crew!$A$2:$E$27,5,FALSE)),"")</f>
        <v>1237</v>
      </c>
      <c r="G11" s="66" t="str">
        <f>IFERROR(IF(ISNA(VLOOKUP('BDA Crew List'!E11,Crew!$A$2:$E$27,2,FALSE))," ", VLOOKUP('BDA Crew List'!E11,Crew!$A$2:$E$27,2,FALSE)),"")</f>
        <v>4 A</v>
      </c>
    </row>
    <row r="12" spans="2:7" s="60" customFormat="1" ht="30" customHeight="1" x14ac:dyDescent="0.25">
      <c r="B12" s="61">
        <v>5</v>
      </c>
      <c r="C12" s="61" t="str">
        <f>IFERROR(IF(ISNA(VLOOKUP('BDA Crew List'!B12,Crew!$A$2:$E$27,5,FALSE))," ", VLOOKUP('BDA Crew List'!B12,Crew!$A$2:$E$27,5,FALSE)),"")</f>
        <v xml:space="preserve"> </v>
      </c>
      <c r="D12" s="66" t="str">
        <f>IFERROR(IF(ISNA(VLOOKUP('BDA Crew List'!B12,Crew!$A$2:$E$27,2,FALSE))," ", VLOOKUP('BDA Crew List'!B12,Crew!$A$2:$E$27,2,FALSE)),"")</f>
        <v>5 A</v>
      </c>
      <c r="E12" s="61">
        <v>6</v>
      </c>
      <c r="F12" s="61">
        <f>IFERROR(IF(ISNA(VLOOKUP('BDA Crew List'!E12,Crew!$A$2:$E$27,5,FALSE))," ", VLOOKUP('BDA Crew List'!E12,Crew!$A$2:$E$27,5,FALSE)),"")</f>
        <v>1239</v>
      </c>
      <c r="G12" s="66" t="str">
        <f>IFERROR(IF(ISNA(VLOOKUP('BDA Crew List'!E12,Crew!$A$2:$E$27,2,FALSE))," ", VLOOKUP('BDA Crew List'!E12,Crew!$A$2:$E$27,2,FALSE)),"")</f>
        <v>6 A</v>
      </c>
    </row>
    <row r="13" spans="2:7" s="60" customFormat="1" ht="30" customHeight="1" x14ac:dyDescent="0.25">
      <c r="B13" s="61">
        <v>7</v>
      </c>
      <c r="C13" s="61">
        <f>IFERROR(IF(ISNA(VLOOKUP('BDA Crew List'!B13,Crew!$A$2:$E$27,5,FALSE))," ", VLOOKUP('BDA Crew List'!B13,Crew!$A$2:$E$27,5,FALSE)),"")</f>
        <v>1240</v>
      </c>
      <c r="D13" s="66" t="str">
        <f>IFERROR(IF(ISNA(VLOOKUP('BDA Crew List'!B13,Crew!$A$2:$E$27,2,FALSE))," ", VLOOKUP('BDA Crew List'!B13,Crew!$A$2:$E$27,2,FALSE)),"")</f>
        <v>7 A</v>
      </c>
      <c r="E13" s="61">
        <v>8</v>
      </c>
      <c r="F13" s="61">
        <f>IFERROR(IF(ISNA(VLOOKUP('BDA Crew List'!E13,Crew!$A$2:$E$27,5,FALSE))," ", VLOOKUP('BDA Crew List'!E13,Crew!$A$2:$E$27,5,FALSE)),"")</f>
        <v>1241</v>
      </c>
      <c r="G13" s="66" t="str">
        <f>IFERROR(IF(ISNA(VLOOKUP('BDA Crew List'!E13,Crew!$A$2:$E$27,2,FALSE))," ", VLOOKUP('BDA Crew List'!E13,Crew!$A$2:$E$27,2,FALSE)),"")</f>
        <v>8 A</v>
      </c>
    </row>
    <row r="14" spans="2:7" s="60" customFormat="1" ht="30" customHeight="1" x14ac:dyDescent="0.25">
      <c r="B14" s="61">
        <v>9</v>
      </c>
      <c r="C14" s="61">
        <f>IFERROR(IF(ISNA(VLOOKUP('BDA Crew List'!B14,Crew!$A$2:$E$27,5,FALSE))," ", VLOOKUP('BDA Crew List'!B14,Crew!$A$2:$E$27,5,FALSE)),"")</f>
        <v>1242</v>
      </c>
      <c r="D14" s="66" t="str">
        <f>IFERROR(IF(ISNA(VLOOKUP('BDA Crew List'!B14,Crew!$A$2:$E$27,2,FALSE))," ", VLOOKUP('BDA Crew List'!B14,Crew!$A$2:$E$27,2,FALSE)),"")</f>
        <v>9 A</v>
      </c>
      <c r="E14" s="61">
        <v>10</v>
      </c>
      <c r="F14" s="61">
        <f>IFERROR(IF(ISNA(VLOOKUP('BDA Crew List'!E14,Crew!$A$2:$E$27,5,FALSE))," ", VLOOKUP('BDA Crew List'!E14,Crew!$A$2:$E$27,5,FALSE)),"")</f>
        <v>1243</v>
      </c>
      <c r="G14" s="66" t="str">
        <f>IFERROR(IF(ISNA(VLOOKUP('BDA Crew List'!E14,Crew!$A$2:$E$27,2,FALSE))," ", VLOOKUP('BDA Crew List'!E14,Crew!$A$2:$E$27,2,FALSE)),"")</f>
        <v>10 A</v>
      </c>
    </row>
    <row r="15" spans="2:7" s="60" customFormat="1" ht="30" customHeight="1" x14ac:dyDescent="0.25">
      <c r="B15" s="61">
        <v>11</v>
      </c>
      <c r="C15" s="61">
        <f>IFERROR(IF(ISNA(VLOOKUP('BDA Crew List'!B15,Crew!$A$2:$E$27,5,FALSE))," ", VLOOKUP('BDA Crew List'!B15,Crew!$A$2:$E$27,5,FALSE)),"")</f>
        <v>1244</v>
      </c>
      <c r="D15" s="66" t="str">
        <f>IFERROR(IF(ISNA(VLOOKUP('BDA Crew List'!B15,Crew!$A$2:$E$27,2,FALSE))," ", VLOOKUP('BDA Crew List'!B15,Crew!$A$2:$E$27,2,FALSE)),"")</f>
        <v>11 A</v>
      </c>
      <c r="E15" s="61">
        <v>12</v>
      </c>
      <c r="F15" s="61">
        <f>IFERROR(IF(ISNA(VLOOKUP('BDA Crew List'!E15,Crew!$A$2:$E$27,5,FALSE))," ", VLOOKUP('BDA Crew List'!E15,Crew!$A$2:$E$27,5,FALSE)),"")</f>
        <v>1245</v>
      </c>
      <c r="G15" s="66" t="str">
        <f>IFERROR(IF(ISNA(VLOOKUP('BDA Crew List'!E15,Crew!$A$2:$E$27,2,FALSE))," ", VLOOKUP('BDA Crew List'!E15,Crew!$A$2:$E$27,2,FALSE)),"")</f>
        <v>12 A</v>
      </c>
    </row>
    <row r="16" spans="2:7" s="60" customFormat="1" ht="30" customHeight="1" x14ac:dyDescent="0.25">
      <c r="B16" s="61">
        <v>13</v>
      </c>
      <c r="C16" s="61">
        <f>IFERROR(IF(ISNA(VLOOKUP('BDA Crew List'!B16,Crew!$A$2:$E$27,5,FALSE))," ", VLOOKUP('BDA Crew List'!B16,Crew!$A$2:$E$27,5,FALSE)),"")</f>
        <v>1246</v>
      </c>
      <c r="D16" s="66" t="str">
        <f>IFERROR(IF(ISNA(VLOOKUP('BDA Crew List'!B16,Crew!$A$2:$E$27,2,FALSE))," ", VLOOKUP('BDA Crew List'!B16,Crew!$A$2:$E$27,2,FALSE)),"")</f>
        <v>13 A</v>
      </c>
      <c r="E16" s="61">
        <v>14</v>
      </c>
      <c r="F16" s="61">
        <f>IFERROR(IF(ISNA(VLOOKUP('BDA Crew List'!E16,Crew!$A$2:$E$27,5,FALSE))," ", VLOOKUP('BDA Crew List'!E16,Crew!$A$2:$E$27,5,FALSE)),"")</f>
        <v>1247</v>
      </c>
      <c r="G16" s="66" t="str">
        <f>IFERROR(IF(ISNA(VLOOKUP('BDA Crew List'!E16,Crew!$A$2:$E$27,2,FALSE))," ", VLOOKUP('BDA Crew List'!E16,Crew!$A$2:$E$27,2,FALSE)),"")</f>
        <v>14 A</v>
      </c>
    </row>
    <row r="17" spans="2:7" s="60" customFormat="1" ht="30" customHeight="1" x14ac:dyDescent="0.25">
      <c r="B17" s="61">
        <v>15</v>
      </c>
      <c r="C17" s="61">
        <f>IFERROR(IF(ISNA(VLOOKUP('BDA Crew List'!B17,Crew!$A$2:$E$27,5,FALSE))," ", VLOOKUP('BDA Crew List'!B17,Crew!$A$2:$E$27,5,FALSE)),"")</f>
        <v>1248</v>
      </c>
      <c r="D17" s="66" t="str">
        <f>IFERROR(IF(ISNA(VLOOKUP('BDA Crew List'!B17,Crew!$A$2:$E$27,2,FALSE))," ", VLOOKUP('BDA Crew List'!B17,Crew!$A$2:$E$27,2,FALSE)),"")</f>
        <v>15 A</v>
      </c>
      <c r="E17" s="61">
        <v>16</v>
      </c>
      <c r="F17" s="61">
        <f>IFERROR(IF(ISNA(VLOOKUP('BDA Crew List'!E17,Crew!$A$2:$E$27,5,FALSE))," ", VLOOKUP('BDA Crew List'!E17,Crew!$A$2:$E$27,5,FALSE)),"")</f>
        <v>1249</v>
      </c>
      <c r="G17" s="66" t="str">
        <f>IFERROR(IF(ISNA(VLOOKUP('BDA Crew List'!E17,Crew!$A$2:$E$27,2,FALSE))," ", VLOOKUP('BDA Crew List'!E17,Crew!$A$2:$E$27,2,FALSE)),"")</f>
        <v>16 A</v>
      </c>
    </row>
    <row r="18" spans="2:7" s="60" customFormat="1" ht="30" customHeight="1" x14ac:dyDescent="0.25">
      <c r="B18" s="61">
        <v>17</v>
      </c>
      <c r="C18" s="61">
        <f>IFERROR(IF(ISNA(VLOOKUP('BDA Crew List'!B18,Crew!$A$2:$E$27,5,FALSE))," ", VLOOKUP('BDA Crew List'!B18,Crew!$A$2:$E$27,5,FALSE)),"")</f>
        <v>1250</v>
      </c>
      <c r="D18" s="66" t="str">
        <f>IFERROR(IF(ISNA(VLOOKUP('BDA Crew List'!B18,Crew!$A$2:$E$27,2,FALSE))," ", VLOOKUP('BDA Crew List'!B18,Crew!$A$2:$E$27,2,FALSE)),"")</f>
        <v>17 A</v>
      </c>
      <c r="E18" s="61">
        <v>18</v>
      </c>
      <c r="F18" s="61">
        <f>IFERROR(IF(ISNA(VLOOKUP('BDA Crew List'!E18,Crew!$A$2:$E$27,5,FALSE))," ", VLOOKUP('BDA Crew List'!E18,Crew!$A$2:$E$27,5,FALSE)),"")</f>
        <v>1251</v>
      </c>
      <c r="G18" s="66" t="str">
        <f>IFERROR(IF(ISNA(VLOOKUP('BDA Crew List'!E18,Crew!$A$2:$E$27,2,FALSE))," ", VLOOKUP('BDA Crew List'!E18,Crew!$A$2:$E$27,2,FALSE)),"")</f>
        <v>18 A</v>
      </c>
    </row>
    <row r="19" spans="2:7" s="60" customFormat="1" ht="30" customHeight="1" x14ac:dyDescent="0.25">
      <c r="B19" s="61">
        <v>19</v>
      </c>
      <c r="C19" s="61">
        <f>IFERROR(IF(ISNA(VLOOKUP('BDA Crew List'!B19,Crew!$A$2:$E$27,5,FALSE))," ", VLOOKUP('BDA Crew List'!B19,Crew!$A$2:$E$27,5,FALSE)),"")</f>
        <v>1252</v>
      </c>
      <c r="D19" s="66" t="str">
        <f>IFERROR(IF(ISNA(VLOOKUP('BDA Crew List'!B19,Crew!$A$2:$E$27,2,FALSE))," ", VLOOKUP('BDA Crew List'!B19,Crew!$A$2:$E$27,2,FALSE)),"")</f>
        <v>19 A</v>
      </c>
      <c r="E19" s="61">
        <v>20</v>
      </c>
      <c r="F19" s="61" t="str">
        <f>IFERROR(IF(ISNA(VLOOKUP('BDA Crew List'!E19,Crew!$A$2:$E$27,5,FALSE))," ", VLOOKUP('BDA Crew List'!E19,Crew!$A$2:$E$27,5,FALSE)),"")</f>
        <v/>
      </c>
      <c r="G19" s="66" t="str">
        <f>IFERROR(IF(ISNA(VLOOKUP('BDA Crew List'!E19,Crew!$A$2:$E$27,2,FALSE))," ", VLOOKUP('BDA Crew List'!E19,Crew!$A$2:$E$27,2,FALSE)),"")</f>
        <v/>
      </c>
    </row>
    <row r="20" spans="2:7" s="60" customFormat="1" ht="30" customHeight="1" x14ac:dyDescent="0.25">
      <c r="B20" s="61">
        <v>21</v>
      </c>
      <c r="C20" s="61" t="str">
        <f>IFERROR(IF(ISNA(VLOOKUP('BDA Crew List'!B20,Crew!$A$2:$E$27,5,FALSE))," ", VLOOKUP('BDA Crew List'!B20,Crew!$A$2:$E$27,5,FALSE)),"")</f>
        <v/>
      </c>
      <c r="D20" s="66" t="str">
        <f>IFERROR(IF(ISNA(VLOOKUP('BDA Crew List'!B20,Crew!$A$2:$E$27,2,FALSE))," ", VLOOKUP('BDA Crew List'!B20,Crew!$A$2:$E$27,2,FALSE)),"")</f>
        <v/>
      </c>
      <c r="E20" s="61">
        <v>22</v>
      </c>
      <c r="F20" s="61" t="str">
        <f>IFERROR(IF(ISNA(VLOOKUP('BDA Crew List'!E20,Crew!$A$2:$E$27,5,FALSE))," ", VLOOKUP('BDA Crew List'!E20,Crew!$A$2:$E$27,5,FALSE)),"")</f>
        <v/>
      </c>
      <c r="G20" s="66" t="str">
        <f>IFERROR(IF(ISNA(VLOOKUP('BDA Crew List'!E20,Crew!$A$2:$E$27,2,FALSE))," ", VLOOKUP('BDA Crew List'!E20,Crew!$A$2:$E$27,2,FALSE)),"")</f>
        <v/>
      </c>
    </row>
    <row r="21" spans="2:7" s="60" customFormat="1" ht="30" customHeight="1" x14ac:dyDescent="0.25">
      <c r="B21" s="92" t="s">
        <v>99</v>
      </c>
      <c r="C21" s="93"/>
      <c r="D21" s="93"/>
      <c r="E21" s="93"/>
      <c r="F21" s="93"/>
      <c r="G21" s="94"/>
    </row>
    <row r="22" spans="2:7" ht="107.1" customHeight="1" x14ac:dyDescent="0.25">
      <c r="B22" s="95" t="s">
        <v>100</v>
      </c>
      <c r="C22" s="96"/>
      <c r="D22" s="96"/>
      <c r="E22" s="96"/>
      <c r="F22" s="96"/>
      <c r="G22" s="96"/>
    </row>
    <row r="23" spans="2:7" s="60" customFormat="1" ht="30" customHeight="1" x14ac:dyDescent="0.25">
      <c r="B23" s="61">
        <v>23</v>
      </c>
      <c r="C23" s="61" t="str">
        <f>IFERROR(IF(ISNA(VLOOKUP('BDA Crew List'!B23,Crew!$A$2:$E$27,5,FALSE))," ", VLOOKUP('BDA Crew List'!B23,Crew!$A$2:$E$27,5,FALSE)),"")</f>
        <v/>
      </c>
      <c r="D23" s="66" t="str">
        <f>IFERROR(IF(ISNA(VLOOKUP('BDA Crew List'!B23,Crew!$A$2:$E$27,2,FALSE))," ", VLOOKUP('BDA Crew List'!B23,Crew!$A$2:$E$27,2,FALSE)),"")</f>
        <v/>
      </c>
      <c r="E23" s="61">
        <v>24</v>
      </c>
      <c r="F23" s="61" t="str">
        <f>IFERROR(IF(ISNA(VLOOKUP('BDA Crew List'!E23,Crew!$A$2:$E$27,5,FALSE))," ", VLOOKUP('BDA Crew List'!E23,Crew!$A$2:$E$27,5,FALSE)),"")</f>
        <v/>
      </c>
      <c r="G23" s="66" t="str">
        <f>IFERROR(IF(ISNA(VLOOKUP('BDA Crew List'!E23,Crew!$A$2:$E$27,2,FALSE))," ", VLOOKUP('BDA Crew List'!E23,Crew!$A$2:$E$27,2,FALSE)),"")</f>
        <v/>
      </c>
    </row>
    <row r="24" spans="2:7" s="60" customFormat="1" ht="30" customHeight="1" x14ac:dyDescent="0.25">
      <c r="B24" s="61">
        <v>25</v>
      </c>
      <c r="C24" s="61" t="str">
        <f>IFERROR(IF(ISNA(VLOOKUP('BDA Crew List'!B24,Crew!$A$2:$E$27,5,FALSE))," ", VLOOKUP('BDA Crew List'!B24,Crew!$A$2:$E$27,5,FALSE)),"")</f>
        <v/>
      </c>
      <c r="D24" s="66" t="str">
        <f>IFERROR(IF(ISNA(VLOOKUP('BDA Crew List'!B24,Crew!$A$2:$E$27,2,FALSE))," ", VLOOKUP('BDA Crew List'!B24,Crew!$A$2:$E$27,2,FALSE)),"")</f>
        <v/>
      </c>
      <c r="E24" s="61">
        <v>26</v>
      </c>
      <c r="F24" s="61" t="str">
        <f>IFERROR(IF(ISNA(VLOOKUP('BDA Crew List'!E24,Crew!$A$2:$E$27,5,FALSE))," ", VLOOKUP('BDA Crew List'!E24,Crew!$A$2:$E$27,5,FALSE)),"")</f>
        <v/>
      </c>
      <c r="G24" s="66" t="str">
        <f>IFERROR(IF(ISNA(VLOOKUP('BDA Crew List'!E24,Crew!$A$2:$E$27,2,FALSE))," ", VLOOKUP('BDA Crew List'!E24,Crew!$A$2:$E$27,2,FALSE)),"")</f>
        <v/>
      </c>
    </row>
    <row r="25" spans="2:7" ht="71.099999999999994" customHeight="1" x14ac:dyDescent="0.25">
      <c r="B25" s="97" t="s">
        <v>101</v>
      </c>
      <c r="C25" s="98"/>
      <c r="D25" s="98"/>
      <c r="E25" s="98"/>
      <c r="F25" s="98"/>
      <c r="G25" s="98"/>
    </row>
    <row r="28" spans="2:7" x14ac:dyDescent="0.25">
      <c r="B28" t="s">
        <v>102</v>
      </c>
      <c r="E28" t="s">
        <v>103</v>
      </c>
    </row>
  </sheetData>
  <mergeCells count="6">
    <mergeCell ref="B4:G4"/>
    <mergeCell ref="B2:G2"/>
    <mergeCell ref="B21:G21"/>
    <mergeCell ref="B22:G22"/>
    <mergeCell ref="B25:G25"/>
    <mergeCell ref="D7:G7"/>
  </mergeCells>
  <pageMargins left="0.70866141732283472" right="0.70866141732283472" top="0.74803149606299213" bottom="0.74803149606299213" header="0.31496062992125984" footer="0.31496062992125984"/>
  <pageSetup paperSize="9" scale="93"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0704-F863-5A41-AD1B-2D67F2F182CB}">
  <sheetPr codeName="Sheet6"/>
  <dimension ref="B3:D25"/>
  <sheetViews>
    <sheetView showGridLines="0" workbookViewId="0">
      <selection activeCell="B7" sqref="B7"/>
    </sheetView>
  </sheetViews>
  <sheetFormatPr defaultColWidth="10.85546875" defaultRowHeight="15" x14ac:dyDescent="0.25"/>
  <cols>
    <col min="2" max="2" width="10.85546875" style="72"/>
    <col min="3" max="3" width="5" style="5" customWidth="1"/>
    <col min="4" max="4" width="10.85546875" style="69"/>
  </cols>
  <sheetData>
    <row r="3" spans="2:4" x14ac:dyDescent="0.25">
      <c r="B3" s="100" t="str">
        <f>IF('Boat Plan'!S11="tbd","",'Boat Plan'!S11)</f>
        <v>16 A **</v>
      </c>
      <c r="C3" s="100"/>
      <c r="D3" s="100"/>
    </row>
    <row r="4" spans="2:4" ht="5.0999999999999996" customHeight="1" x14ac:dyDescent="0.25"/>
    <row r="5" spans="2:4" x14ac:dyDescent="0.25">
      <c r="B5" s="73" t="str">
        <f>IF('Boat Plan'!R15="tbd","",'Boat Plan'!R15)</f>
        <v/>
      </c>
      <c r="C5" s="5">
        <v>1</v>
      </c>
      <c r="D5" s="74" t="str">
        <f>IF('Boat Plan'!V15="tbd","",'Boat Plan'!V15)</f>
        <v>11 A *L</v>
      </c>
    </row>
    <row r="6" spans="2:4" ht="5.0999999999999996" customHeight="1" x14ac:dyDescent="0.25"/>
    <row r="7" spans="2:4" x14ac:dyDescent="0.25">
      <c r="B7" s="73" t="str">
        <f>IF('Boat Plan'!R17="tbd","",'Boat Plan'!R17)</f>
        <v>3 A **</v>
      </c>
      <c r="C7" s="5">
        <v>2</v>
      </c>
      <c r="D7" s="74" t="str">
        <f>IF('Boat Plan'!V17="tbd","",'Boat Plan'!V17)</f>
        <v/>
      </c>
    </row>
    <row r="8" spans="2:4" ht="5.0999999999999996" customHeight="1" x14ac:dyDescent="0.25"/>
    <row r="9" spans="2:4" x14ac:dyDescent="0.25">
      <c r="B9" s="73" t="str">
        <f>IF('Boat Plan'!R19="tbd","",'Boat Plan'!R19)</f>
        <v>2 A **</v>
      </c>
      <c r="C9" s="5">
        <v>3</v>
      </c>
      <c r="D9" s="74" t="str">
        <f>IF('Boat Plan'!V19="tbd","",'Boat Plan'!V19)</f>
        <v>4 A</v>
      </c>
    </row>
    <row r="10" spans="2:4" ht="5.0999999999999996" customHeight="1" x14ac:dyDescent="0.25"/>
    <row r="11" spans="2:4" x14ac:dyDescent="0.25">
      <c r="B11" s="73" t="str">
        <f>IF('Boat Plan'!R21="tbd","",'Boat Plan'!R21)</f>
        <v>1 A *R</v>
      </c>
      <c r="C11" s="5">
        <v>4</v>
      </c>
      <c r="D11" s="74" t="str">
        <f>IF('Boat Plan'!V21="tbd","",'Boat Plan'!V21)</f>
        <v>7 A **</v>
      </c>
    </row>
    <row r="12" spans="2:4" ht="5.0999999999999996" customHeight="1" x14ac:dyDescent="0.25"/>
    <row r="13" spans="2:4" x14ac:dyDescent="0.25">
      <c r="B13" s="73" t="str">
        <f>IF('Boat Plan'!R23="tbd","",'Boat Plan'!R23)</f>
        <v>12 A **</v>
      </c>
      <c r="C13" s="5">
        <v>5</v>
      </c>
      <c r="D13" s="74" t="str">
        <f>IF('Boat Plan'!V23="tbd","",'Boat Plan'!V23)</f>
        <v>5 A **</v>
      </c>
    </row>
    <row r="14" spans="2:4" ht="5.0999999999999996" customHeight="1" x14ac:dyDescent="0.25"/>
    <row r="15" spans="2:4" x14ac:dyDescent="0.25">
      <c r="B15" s="73" t="str">
        <f>IF('Boat Plan'!R25="tbd","",'Boat Plan'!R25)</f>
        <v>8 A</v>
      </c>
      <c r="C15" s="5">
        <v>6</v>
      </c>
      <c r="D15" s="74" t="str">
        <f>IF('Boat Plan'!V25="tbd","",'Boat Plan'!V25)</f>
        <v>6 A **</v>
      </c>
    </row>
    <row r="16" spans="2:4" ht="5.0999999999999996" customHeight="1" x14ac:dyDescent="0.25"/>
    <row r="17" spans="2:4" x14ac:dyDescent="0.25">
      <c r="B17" s="73" t="str">
        <f>IF('Boat Plan'!R27="tbd","",'Boat Plan'!R27)</f>
        <v>9 A **</v>
      </c>
      <c r="C17" s="5">
        <v>7</v>
      </c>
      <c r="D17" s="74" t="str">
        <f>IF('Boat Plan'!V27="tbd","",'Boat Plan'!V27)</f>
        <v/>
      </c>
    </row>
    <row r="18" spans="2:4" ht="5.0999999999999996" customHeight="1" x14ac:dyDescent="0.25"/>
    <row r="19" spans="2:4" x14ac:dyDescent="0.25">
      <c r="B19" s="73" t="str">
        <f>IF('Boat Plan'!R29="tbd","",'Boat Plan'!R29)</f>
        <v/>
      </c>
      <c r="C19" s="5">
        <v>8</v>
      </c>
      <c r="D19" s="74" t="str">
        <f>IF('Boat Plan'!V29="tbd","",'Boat Plan'!V29)</f>
        <v>10 A **</v>
      </c>
    </row>
    <row r="20" spans="2:4" ht="5.0999999999999996" customHeight="1" x14ac:dyDescent="0.25"/>
    <row r="21" spans="2:4" x14ac:dyDescent="0.25">
      <c r="B21" s="73" t="str">
        <f>IF('Boat Plan'!R31="tbd","",'Boat Plan'!R31)</f>
        <v/>
      </c>
      <c r="C21" s="5">
        <v>9</v>
      </c>
      <c r="D21" s="74" t="str">
        <f>IF('Boat Plan'!V31="tbd","",'Boat Plan'!V31)</f>
        <v xml:space="preserve">14 A </v>
      </c>
    </row>
    <row r="22" spans="2:4" ht="5.0999999999999996" customHeight="1" x14ac:dyDescent="0.25"/>
    <row r="23" spans="2:4" x14ac:dyDescent="0.25">
      <c r="B23" s="73" t="str">
        <f>IF('Boat Plan'!R33="tbd","",'Boat Plan'!R33)</f>
        <v xml:space="preserve">13 A </v>
      </c>
      <c r="C23" s="5">
        <v>10</v>
      </c>
      <c r="D23" s="74" t="str">
        <f>IF('Boat Plan'!V33="tbd","",'Boat Plan'!V33)</f>
        <v/>
      </c>
    </row>
    <row r="24" spans="2:4" ht="5.0999999999999996" customHeight="1" x14ac:dyDescent="0.25"/>
    <row r="25" spans="2:4" x14ac:dyDescent="0.25">
      <c r="B25" s="100" t="str">
        <f>'Boat Plan'!S37</f>
        <v>15 A *L</v>
      </c>
      <c r="C25" s="100"/>
      <c r="D25" s="100"/>
    </row>
  </sheetData>
  <mergeCells count="2">
    <mergeCell ref="B3:D3"/>
    <mergeCell ref="B25:D25"/>
  </mergeCells>
  <conditionalFormatting sqref="B5 B7 B9 B11 B13 B15 B17 B19 B21 B23 D23 D21 D19 D17 D15 D13 D11 D9 D7 D5">
    <cfRule type="notContainsBlanks" dxfId="0" priority="2">
      <formula>LEN(TRIM(B5))&gt;0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Boat Plan</vt:lpstr>
      <vt:lpstr>Master Database</vt:lpstr>
      <vt:lpstr>Crew</vt:lpstr>
      <vt:lpstr>Calcs</vt:lpstr>
      <vt:lpstr>BDA Crew List</vt:lpstr>
      <vt:lpstr>For the record</vt:lpstr>
      <vt:lpstr>Displacement_Drummer</vt:lpstr>
      <vt:lpstr>Displacement_Helm</vt:lpstr>
      <vt:lpstr>Drum</vt:lpstr>
      <vt:lpstr>Helm</vt:lpstr>
      <vt:lpstr>Left</vt:lpstr>
      <vt:lpstr>People</vt:lpstr>
      <vt:lpstr>'BDA Crew List'!Print_Area</vt:lpstr>
      <vt:lpstr>'Boat Plan'!Print_Area</vt:lpstr>
      <vt:lpstr>Right</vt:lpstr>
      <vt:lpstr>Team</vt:lpstr>
      <vt:lpstr>Weight</vt:lpstr>
    </vt:vector>
  </TitlesOfParts>
  <Company>GHD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 Bedford</dc:creator>
  <cp:lastModifiedBy>Callum Gilchrist</cp:lastModifiedBy>
  <cp:lastPrinted>2018-04-26T15:11:38Z</cp:lastPrinted>
  <dcterms:created xsi:type="dcterms:W3CDTF">2015-06-29T12:22:17Z</dcterms:created>
  <dcterms:modified xsi:type="dcterms:W3CDTF">2021-09-01T11:44:26Z</dcterms:modified>
</cp:coreProperties>
</file>